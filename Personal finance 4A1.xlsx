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ncjcn\Downloads\"/>
    </mc:Choice>
  </mc:AlternateContent>
  <xr:revisionPtr revIDLastSave="0" documentId="13_ncr:1_{EA1A2F09-AF52-4F8B-B809-A59C15E0D082}" xr6:coauthVersionLast="47" xr6:coauthVersionMax="47" xr10:uidLastSave="{00000000-0000-0000-0000-000000000000}"/>
  <bookViews>
    <workbookView xWindow="-108" yWindow="-108" windowWidth="23256" windowHeight="13896" activeTab="1" xr2:uid="{00000000-000D-0000-FFFF-FFFF00000000}"/>
  </bookViews>
  <sheets>
    <sheet name="Sheet1" sheetId="3" r:id="rId1"/>
    <sheet name="Sheet3" sheetId="5" r:id="rId2"/>
    <sheet name="Sheet2" sheetId="2" r:id="rId3"/>
  </sheets>
  <definedNames>
    <definedName name="Slicer_Actual_amount">#N/A</definedName>
    <definedName name="Slicer_Category">#N/A</definedName>
    <definedName name="Slicer_Discrip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<sst xmlns="http://schemas.openxmlformats.org/spreadsheetml/2006/main" count="239" uniqueCount="59">
  <si>
    <t>Row Labels</t>
  </si>
  <si>
    <t>Sum of Actual amount</t>
  </si>
  <si>
    <t>Count of Category</t>
  </si>
  <si>
    <t>Count of Discription</t>
  </si>
  <si>
    <t>&lt;1/5/2025</t>
  </si>
  <si>
    <t>Jan</t>
  </si>
  <si>
    <t>Feb</t>
  </si>
  <si>
    <t>Mar</t>
  </si>
  <si>
    <t>Apr</t>
  </si>
  <si>
    <t>May</t>
  </si>
  <si>
    <t>Jun</t>
  </si>
  <si>
    <t>Jul</t>
  </si>
  <si>
    <t>Aug</t>
  </si>
  <si>
    <t>Sep</t>
  </si>
  <si>
    <t>Oct</t>
  </si>
  <si>
    <t>Nov</t>
  </si>
  <si>
    <t>Dec</t>
  </si>
  <si>
    <t>Grand Total</t>
  </si>
  <si>
    <t>Date</t>
  </si>
  <si>
    <t>Month</t>
  </si>
  <si>
    <t>Category</t>
  </si>
  <si>
    <t>Discription</t>
  </si>
  <si>
    <t>Actual amount</t>
  </si>
  <si>
    <t>January</t>
  </si>
  <si>
    <t>Rent</t>
  </si>
  <si>
    <t>House Rent</t>
  </si>
  <si>
    <t>Food</t>
  </si>
  <si>
    <t>Groceries</t>
  </si>
  <si>
    <t>Transport</t>
  </si>
  <si>
    <t>Bus&amp;Fuel</t>
  </si>
  <si>
    <t>Entertainment</t>
  </si>
  <si>
    <t>Movies</t>
  </si>
  <si>
    <t>Total Expences</t>
  </si>
  <si>
    <t>Utilities</t>
  </si>
  <si>
    <t>Electricity bill</t>
  </si>
  <si>
    <t>February</t>
  </si>
  <si>
    <t>Total Expences by Category(Food)</t>
  </si>
  <si>
    <t>Water&amp;Power</t>
  </si>
  <si>
    <t>March</t>
  </si>
  <si>
    <t>Bus pass</t>
  </si>
  <si>
    <t>Average</t>
  </si>
  <si>
    <t>Outgoing</t>
  </si>
  <si>
    <t>April</t>
  </si>
  <si>
    <t>Total expences by month</t>
  </si>
  <si>
    <t>Fuel</t>
  </si>
  <si>
    <t>Total expenses by month and category</t>
  </si>
  <si>
    <t>Shopping</t>
  </si>
  <si>
    <t>June</t>
  </si>
  <si>
    <t>avg expanses by month</t>
  </si>
  <si>
    <t>Trip</t>
  </si>
  <si>
    <t>July</t>
  </si>
  <si>
    <t>August</t>
  </si>
  <si>
    <t>September</t>
  </si>
  <si>
    <t>October</t>
  </si>
  <si>
    <t>Festival Shopping</t>
  </si>
  <si>
    <t>November</t>
  </si>
  <si>
    <t>December</t>
  </si>
  <si>
    <t>Travel</t>
  </si>
  <si>
    <t>Year-End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</si>
</sst>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b/>
      <sz val="12"/>
      <color theme="1"/>
      <name val="Aptos Narrow"/>
      <charset val="134"/>
      <scheme val="minor"/>
    </font>
    <font>
      <b/>
      <sz val="11"/>
      <color theme="1"/>
      <name val="Aptos Narrow"/>
      <charset val="134"/>
      <scheme val="minor"/>
    </font>
    <font>
      <sz val="11"/>
      <color theme="4" tint="-0.249977111117893"/>
      <name val="Aptos Narrow"/>
      <charset val="134"/>
      <scheme val="minor"/>
    </font>
  </fonts>
  <fills count="5">
    <fill>
      <patternFill patternType="none"/>
    </fill>
    <fill>
      <patternFill patternType="gray125"/>
    </fill>
    <fill>
      <patternFill patternType="solid">
        <fgColor theme="3" tint="0.749992370372631"/>
        <bgColor indexed="64"/>
      </patternFill>
    </fill>
    <fill>
      <patternFill patternType="solid">
        <fgColor theme="4" tint="0.79995117038483843"/>
        <bgColor theme="4" tint="0.79995117038483843"/>
      </patternFill>
    </fill>
    <fill>
      <patternFill patternType="solid">
        <fgColor theme="3" tint="0.89996032593768116"/>
        <bgColor indexed="64"/>
      </patternFill>
    </fill>
  </fills>
  <borders count="2">
    <border>
      <left/>
      <right/>
      <top/>
      <bottom/>
      <diagonal/>
    </border>
    <border>
      <left/>
      <right/>
      <top/>
      <bottom style="thin">
        <color theme="4"/>
      </bottom>
      <diagonal/>
    </border>
  </borders>
  <cellStyleXfs count="1">
    <xf numFmtId="0" fontId="0" fillId="0" borderId="0"/>
  </cellStyleXfs>
  <cellXfs count="13">
    <xf numFmtId="0" fontId="0" fillId="0" borderId="0" xfId="0"/>
    <xf numFmtId="0" fontId="1" fillId="2" borderId="0" xfId="0" applyFont="1" applyFill="1"/>
    <xf numFmtId="0" fontId="2" fillId="2" borderId="0" xfId="0" applyFont="1" applyFill="1"/>
    <xf numFmtId="14" fontId="3" fillId="3" borderId="0" xfId="0" applyNumberFormat="1" applyFont="1" applyFill="1"/>
    <xf numFmtId="0" fontId="3" fillId="3" borderId="0" xfId="0" applyFont="1" applyFill="1"/>
    <xf numFmtId="14" fontId="3" fillId="0" borderId="0" xfId="0" applyNumberFormat="1" applyFont="1"/>
    <xf numFmtId="0" fontId="3" fillId="0" borderId="0" xfId="0" applyFont="1"/>
    <xf numFmtId="14" fontId="3" fillId="0" borderId="1" xfId="0" applyNumberFormat="1" applyFont="1" applyBorder="1"/>
    <xf numFmtId="0" fontId="3" fillId="0" borderId="1" xfId="0" applyFont="1" applyBorder="1"/>
    <xf numFmtId="0" fontId="2" fillId="2" borderId="0" xfId="0" applyFont="1" applyFill="1" applyAlignment="1">
      <alignment vertical="center"/>
    </xf>
    <xf numFmtId="0" fontId="0" fillId="4" borderId="0" xfId="0" applyFill="1"/>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4A1.xlsx]Sheet1!PivotTable1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48-41EC-9610-4446185E87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48-41EC-9610-4446185E87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48-41EC-9610-4446185E87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48-41EC-9610-4446185E87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48-41EC-9610-4446185E87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48-41EC-9610-4446185E87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48-41EC-9610-4446185E875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48-41EC-9610-4446185E875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48-41EC-9610-4446185E875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C48-41EC-9610-4446185E875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C48-41EC-9610-4446185E875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C48-41EC-9610-4446185E875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C48-41EC-9610-4446185E875C}"/>
              </c:ext>
            </c:extLst>
          </c:dPt>
          <c:cat>
            <c:strRef>
              <c:f>Sheet1!$A$4:$A$17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Sheet1!$B$4:$B$17</c:f>
              <c:numCache>
                <c:formatCode>General</c:formatCode>
                <c:ptCount val="13"/>
                <c:pt idx="1">
                  <c:v>23900</c:v>
                </c:pt>
                <c:pt idx="2">
                  <c:v>24600</c:v>
                </c:pt>
                <c:pt idx="3">
                  <c:v>22300</c:v>
                </c:pt>
                <c:pt idx="4">
                  <c:v>24200</c:v>
                </c:pt>
                <c:pt idx="5">
                  <c:v>24400</c:v>
                </c:pt>
                <c:pt idx="6">
                  <c:v>26000</c:v>
                </c:pt>
                <c:pt idx="7">
                  <c:v>22900</c:v>
                </c:pt>
                <c:pt idx="8">
                  <c:v>24500</c:v>
                </c:pt>
                <c:pt idx="9">
                  <c:v>23400</c:v>
                </c:pt>
                <c:pt idx="10">
                  <c:v>26500</c:v>
                </c:pt>
                <c:pt idx="11">
                  <c:v>24300</c:v>
                </c:pt>
                <c:pt idx="12">
                  <c:v>28000</c:v>
                </c:pt>
              </c:numCache>
            </c:numRef>
          </c:val>
          <c:extLst>
            <c:ext xmlns:c16="http://schemas.microsoft.com/office/drawing/2014/chart" uri="{C3380CC4-5D6E-409C-BE32-E72D297353CC}">
              <c16:uniqueId val="{0000001A-BC48-41EC-9610-4446185E875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a0531dec-6e9b-48e3-907c-c83c0bd971d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4A1.xlsx]Sheet1!PivotTable2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Sheet1!$E$4:$E$17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0-1434-4204-B9D2-78AA620CA415}"/>
            </c:ext>
          </c:extLst>
        </c:ser>
        <c:dLbls>
          <c:showLegendKey val="0"/>
          <c:showVal val="1"/>
          <c:showCatName val="0"/>
          <c:showSerName val="0"/>
          <c:showPercent val="0"/>
          <c:showBubbleSize val="0"/>
        </c:dLbls>
        <c:gapWidth val="61"/>
        <c:overlap val="-27"/>
        <c:axId val="485312768"/>
        <c:axId val="485313248"/>
      </c:barChart>
      <c:catAx>
        <c:axId val="48531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85313248"/>
        <c:crosses val="autoZero"/>
        <c:auto val="1"/>
        <c:lblAlgn val="ctr"/>
        <c:lblOffset val="100"/>
        <c:noMultiLvlLbl val="0"/>
      </c:catAx>
      <c:valAx>
        <c:axId val="485313248"/>
        <c:scaling>
          <c:orientation val="minMax"/>
        </c:scaling>
        <c:delete val="1"/>
        <c:axPos val="l"/>
        <c:numFmt formatCode="General" sourceLinked="1"/>
        <c:majorTickMark val="none"/>
        <c:minorTickMark val="none"/>
        <c:tickLblPos val="nextTo"/>
        <c:crossAx val="485312768"/>
        <c:crosses val="autoZero"/>
        <c:crossBetween val="between"/>
      </c:valAx>
      <c:spPr>
        <a:noFill/>
        <a:ln>
          <a:noFill/>
        </a:ln>
        <a:effectLst/>
      </c:spPr>
    </c:plotArea>
    <c:plotVisOnly val="1"/>
    <c:dispBlanksAs val="gap"/>
    <c:showDLblsOverMax val="0"/>
    <c:extLst>
      <c:ext uri="{0b15fc19-7d7d-44ad-8c2d-2c3a37ce22c3}">
        <chartProps xmlns="https://web.wps.cn/et/2018/main" chartId="{b4f60ff1-dbe1-4b41-bb88-af954eb0d83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4A1.xlsx]Sheet1!PivotTable3</c:name>
    <c:fmtId val="4"/>
  </c:pivotSource>
  <c:chart>
    <c:autoTitleDeleted val="1"/>
    <c:pivotFmts>
      <c:pivotFmt>
        <c:idx val="0"/>
        <c:spPr>
          <a:solidFill>
            <a:schemeClr val="accent1"/>
          </a:solidFill>
          <a:ln w="63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chemeClr val="accent1"/>
            </a:solidFill>
            <a:ln w="63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Sheet1!$H$4:$H$17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0-DBA3-4E57-910C-C82A3BD6CCA1}"/>
            </c:ext>
          </c:extLst>
        </c:ser>
        <c:dLbls>
          <c:showLegendKey val="0"/>
          <c:showVal val="1"/>
          <c:showCatName val="0"/>
          <c:showSerName val="0"/>
          <c:showPercent val="0"/>
          <c:showBubbleSize val="0"/>
        </c:dLbls>
        <c:gapWidth val="60"/>
        <c:axId val="509767536"/>
        <c:axId val="509771856"/>
      </c:barChart>
      <c:catAx>
        <c:axId val="50976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09771856"/>
        <c:crosses val="autoZero"/>
        <c:auto val="1"/>
        <c:lblAlgn val="ctr"/>
        <c:lblOffset val="100"/>
        <c:noMultiLvlLbl val="0"/>
      </c:catAx>
      <c:valAx>
        <c:axId val="50977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09767536"/>
        <c:crosses val="autoZero"/>
        <c:crossBetween val="between"/>
      </c:valAx>
      <c:spPr>
        <a:noFill/>
        <a:ln>
          <a:noFill/>
        </a:ln>
        <a:effectLst/>
      </c:spPr>
    </c:plotArea>
    <c:plotVisOnly val="1"/>
    <c:dispBlanksAs val="gap"/>
    <c:showDLblsOverMax val="0"/>
    <c:extLst>
      <c:ext uri="{0b15fc19-7d7d-44ad-8c2d-2c3a37ce22c3}">
        <chartProps xmlns="https://web.wps.cn/et/2018/main" chartId="{d9dcf184-4f71-4160-b55d-fe0919a0290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4A1.xlsx]Sheet1!PivotTable1</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3E8-4F8C-B2CD-62EBE70F35C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3E8-4F8C-B2CD-62EBE70F35C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3E8-4F8C-B2CD-62EBE70F35C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3E8-4F8C-B2CD-62EBE70F35C9}"/>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3E8-4F8C-B2CD-62EBE70F35C9}"/>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3E8-4F8C-B2CD-62EBE70F35C9}"/>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3E8-4F8C-B2CD-62EBE70F35C9}"/>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3E8-4F8C-B2CD-62EBE70F35C9}"/>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3E8-4F8C-B2CD-62EBE70F35C9}"/>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63E8-4F8C-B2CD-62EBE70F35C9}"/>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63E8-4F8C-B2CD-62EBE70F35C9}"/>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63E8-4F8C-B2CD-62EBE70F35C9}"/>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63E8-4F8C-B2CD-62EBE70F35C9}"/>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Sheet1!$B$4:$B$17</c:f>
              <c:numCache>
                <c:formatCode>General</c:formatCode>
                <c:ptCount val="13"/>
                <c:pt idx="1">
                  <c:v>23900</c:v>
                </c:pt>
                <c:pt idx="2">
                  <c:v>24600</c:v>
                </c:pt>
                <c:pt idx="3">
                  <c:v>22300</c:v>
                </c:pt>
                <c:pt idx="4">
                  <c:v>24200</c:v>
                </c:pt>
                <c:pt idx="5">
                  <c:v>24400</c:v>
                </c:pt>
                <c:pt idx="6">
                  <c:v>26000</c:v>
                </c:pt>
                <c:pt idx="7">
                  <c:v>22900</c:v>
                </c:pt>
                <c:pt idx="8">
                  <c:v>24500</c:v>
                </c:pt>
                <c:pt idx="9">
                  <c:v>23400</c:v>
                </c:pt>
                <c:pt idx="10">
                  <c:v>26500</c:v>
                </c:pt>
                <c:pt idx="11">
                  <c:v>24300</c:v>
                </c:pt>
                <c:pt idx="12">
                  <c:v>28000</c:v>
                </c:pt>
              </c:numCache>
            </c:numRef>
          </c:val>
          <c:extLst>
            <c:ext xmlns:c16="http://schemas.microsoft.com/office/drawing/2014/chart" uri="{C3380CC4-5D6E-409C-BE32-E72D297353CC}">
              <c16:uniqueId val="{0000001A-63E8-4F8C-B2CD-62EBE70F35C9}"/>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91a233cd-228d-415e-9b91-7ec2f243840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4A1.xlsx]Sheet1!PivotTable2</c:name>
    <c:fmtId val="6"/>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Sheet1!$E$4:$E$17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0-1309-4C08-B6CD-A898D94D8063}"/>
            </c:ext>
          </c:extLst>
        </c:ser>
        <c:dLbls>
          <c:showLegendKey val="0"/>
          <c:showVal val="1"/>
          <c:showCatName val="0"/>
          <c:showSerName val="0"/>
          <c:showPercent val="0"/>
          <c:showBubbleSize val="0"/>
        </c:dLbls>
        <c:gapWidth val="61"/>
        <c:overlap val="-27"/>
        <c:axId val="485312768"/>
        <c:axId val="485313248"/>
      </c:barChart>
      <c:catAx>
        <c:axId val="48531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85313248"/>
        <c:crosses val="autoZero"/>
        <c:auto val="1"/>
        <c:lblAlgn val="ctr"/>
        <c:lblOffset val="100"/>
        <c:noMultiLvlLbl val="0"/>
      </c:catAx>
      <c:valAx>
        <c:axId val="485313248"/>
        <c:scaling>
          <c:orientation val="minMax"/>
        </c:scaling>
        <c:delete val="1"/>
        <c:axPos val="l"/>
        <c:numFmt formatCode="General" sourceLinked="1"/>
        <c:majorTickMark val="none"/>
        <c:minorTickMark val="none"/>
        <c:tickLblPos val="nextTo"/>
        <c:crossAx val="485312768"/>
        <c:crosses val="autoZero"/>
        <c:crossBetween val="between"/>
      </c:valAx>
      <c:spPr>
        <a:noFill/>
        <a:ln>
          <a:noFill/>
        </a:ln>
        <a:effectLst/>
      </c:spPr>
    </c:plotArea>
    <c:plotVisOnly val="1"/>
    <c:dispBlanksAs val="gap"/>
    <c:showDLblsOverMax val="0"/>
    <c:extLst>
      <c:ext uri="{0b15fc19-7d7d-44ad-8c2d-2c3a37ce22c3}">
        <chartProps xmlns="https://web.wps.cn/et/2018/main" chartId="{691540a0-8636-44da-a405-b9de49d05ed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4A1.xlsx]Sheet1!PivotTable3</c:name>
    <c:fmtId val="6"/>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Sheet1!$H$4:$H$17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0-8F20-4E5D-B50D-DCD6DBE5665A}"/>
            </c:ext>
          </c:extLst>
        </c:ser>
        <c:dLbls>
          <c:showLegendKey val="0"/>
          <c:showVal val="1"/>
          <c:showCatName val="0"/>
          <c:showSerName val="0"/>
          <c:showPercent val="0"/>
          <c:showBubbleSize val="0"/>
        </c:dLbls>
        <c:gapWidth val="60"/>
        <c:axId val="509767536"/>
        <c:axId val="509771856"/>
      </c:barChart>
      <c:catAx>
        <c:axId val="50976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09771856"/>
        <c:crosses val="autoZero"/>
        <c:auto val="1"/>
        <c:lblAlgn val="ctr"/>
        <c:lblOffset val="100"/>
        <c:noMultiLvlLbl val="0"/>
      </c:catAx>
      <c:valAx>
        <c:axId val="50977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09767536"/>
        <c:crosses val="autoZero"/>
        <c:crossBetween val="between"/>
      </c:valAx>
      <c:spPr>
        <a:noFill/>
        <a:ln>
          <a:noFill/>
        </a:ln>
        <a:effectLst/>
      </c:spPr>
    </c:plotArea>
    <c:plotVisOnly val="1"/>
    <c:dispBlanksAs val="gap"/>
    <c:showDLblsOverMax val="0"/>
    <c:extLst>
      <c:ext uri="{0b15fc19-7d7d-44ad-8c2d-2c3a37ce22c3}">
        <chartProps xmlns="https://web.wps.cn/et/2018/main" chartId="{1ce5e439-a14b-4293-b31d-acad9001457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4</xdr:col>
      <xdr:colOff>206375</xdr:colOff>
      <xdr:row>32</xdr:row>
      <xdr:rowOff>165100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365125</xdr:colOff>
      <xdr:row>18</xdr:row>
      <xdr:rowOff>19050</xdr:rowOff>
    </xdr:from>
    <xdr:to>
      <xdr:col>9</xdr:col>
      <xdr:colOff>511175</xdr:colOff>
      <xdr:row>33</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114300</xdr:rowOff>
    </xdr:from>
    <xdr:to>
      <xdr:col>4</xdr:col>
      <xdr:colOff>869950</xdr:colOff>
      <xdr:row>48</xdr:row>
      <xdr:rowOff>95250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908050</xdr:colOff>
      <xdr:row>1</xdr:row>
      <xdr:rowOff>69850</xdr:rowOff>
    </xdr:from>
    <xdr:to>
      <xdr:col>13</xdr:col>
      <xdr:colOff>165100</xdr:colOff>
      <xdr:row>15</xdr:row>
      <xdr:rowOff>111122</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mlns:r="http://schemas.openxmlformats.org/officeDocument/2006/relationships">
        <xdr:sp macro="" textlink="">
          <xdr:nvSpPr>
            <xdr:cNvPr id="0" name=""/>
            <xdr:cNvSpPr>
              <a:spLocks noTextEdit="1"/>
            </xdr:cNvSpPr>
          </xdr:nvSpPr>
          <xdr:spPr>
            <a:xfrm>
              <a:off x="9836785" y="283210"/>
              <a:ext cx="1724660" cy="30276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8</xdr:col>
      <xdr:colOff>400050</xdr:colOff>
      <xdr:row>1</xdr:row>
      <xdr:rowOff>82550</xdr:rowOff>
    </xdr:from>
    <xdr:to>
      <xdr:col>10</xdr:col>
      <xdr:colOff>749300</xdr:colOff>
      <xdr:row>15</xdr:row>
      <xdr:rowOff>123822</xdr:rowOff>
    </xdr:to>
    <mc:AlternateContent xmlns:mc="http://schemas.openxmlformats.org/markup-compatibility/2006" xmlns:a14="http://schemas.microsoft.com/office/drawing/2010/main">
      <mc:Choice Requires="a14">
        <xdr:graphicFrame macro="">
          <xdr:nvGraphicFramePr>
            <xdr:cNvPr id="6" name="Discription">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mlns:r="http://schemas.openxmlformats.org/officeDocument/2006/relationships">
        <xdr:sp macro="" textlink="">
          <xdr:nvSpPr>
            <xdr:cNvPr id="0" name=""/>
            <xdr:cNvSpPr>
              <a:spLocks noTextEdit="1"/>
            </xdr:cNvSpPr>
          </xdr:nvSpPr>
          <xdr:spPr>
            <a:xfrm>
              <a:off x="7912100" y="295910"/>
              <a:ext cx="1765935" cy="30276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5</xdr:col>
      <xdr:colOff>457200</xdr:colOff>
      <xdr:row>36</xdr:row>
      <xdr:rowOff>12700</xdr:rowOff>
    </xdr:from>
    <xdr:to>
      <xdr:col>7</xdr:col>
      <xdr:colOff>806450</xdr:colOff>
      <xdr:row>50</xdr:row>
      <xdr:rowOff>53972</xdr:rowOff>
    </xdr:to>
    <mc:AlternateContent xmlns:mc="http://schemas.openxmlformats.org/markup-compatibility/2006" xmlns:a14="http://schemas.microsoft.com/office/drawing/2010/main">
      <mc:Choice Requires="a14">
        <xdr:graphicFrame macro="">
          <xdr:nvGraphicFramePr>
            <xdr:cNvPr id="7" name="Actual amoun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mlns:r="http://schemas.openxmlformats.org/officeDocument/2006/relationships">
        <xdr:sp macro="" textlink="">
          <xdr:nvSpPr>
            <xdr:cNvPr id="0" name=""/>
            <xdr:cNvSpPr>
              <a:spLocks noTextEdit="1"/>
            </xdr:cNvSpPr>
          </xdr:nvSpPr>
          <xdr:spPr>
            <a:xfrm>
              <a:off x="5381625" y="7693660"/>
              <a:ext cx="1765935" cy="30276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57150</xdr:rowOff>
    </xdr:from>
    <xdr:to>
      <xdr:col>17</xdr:col>
      <xdr:colOff>19050</xdr:colOff>
      <xdr:row>3</xdr:row>
      <xdr:rowOff>158750</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25400" y="57150"/>
          <a:ext cx="10518775" cy="644525"/>
        </a:xfrm>
        <a:prstGeom prst="roundRect">
          <a:avLst/>
        </a:prstGeom>
        <a:solidFill>
          <a:srgbClr val="FFFF00"/>
        </a:solidFill>
      </xdr:spPr>
      <xdr:style>
        <a:lnRef idx="0">
          <a:srgbClr val="FFFFFF"/>
        </a:lnRef>
        <a:fillRef idx="2">
          <a:schemeClr val="accent6"/>
        </a:fillRef>
        <a:effectRef idx="1">
          <a:schemeClr val="accent6"/>
        </a:effectRef>
        <a:fontRef idx="minor">
          <a:schemeClr val="lt1"/>
        </a:fontRef>
      </xdr:style>
      <xdr:txBody>
        <a:bodyPr vertOverflow="clip" horzOverflow="clip" rtlCol="0" anchor="t"/>
        <a:lstStyle/>
        <a:p>
          <a:pPr algn="l"/>
          <a:endParaRPr lang="en-US" sz="1100">
            <a:solidFill>
              <a:srgbClr val="00B0F0"/>
            </a:solidFill>
          </a:endParaRPr>
        </a:p>
      </xdr:txBody>
    </xdr:sp>
    <xdr:clientData/>
  </xdr:twoCellAnchor>
  <xdr:twoCellAnchor>
    <xdr:from>
      <xdr:col>3</xdr:col>
      <xdr:colOff>336550</xdr:colOff>
      <xdr:row>0</xdr:row>
      <xdr:rowOff>158750</xdr:rowOff>
    </xdr:from>
    <xdr:to>
      <xdr:col>13</xdr:col>
      <xdr:colOff>222250</xdr:colOff>
      <xdr:row>3</xdr:row>
      <xdr:rowOff>19050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193925" y="158750"/>
          <a:ext cx="6076950" cy="403225"/>
        </a:xfrm>
        <a:prstGeom prst="rect">
          <a:avLst/>
        </a:prstGeom>
        <a:solidFill>
          <a:srgbClr val="FFFF00"/>
        </a:solidFill>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p>
          <a:pPr algn="ctr"/>
          <a:r>
            <a:rPr lang="en-US" sz="2400" b="1">
              <a:solidFill>
                <a:schemeClr val="bg1"/>
              </a:solidFill>
            </a:rPr>
            <a:t>personal</a:t>
          </a:r>
          <a:r>
            <a:rPr lang="en-US" sz="2400" b="1" baseline="0">
              <a:solidFill>
                <a:schemeClr val="bg1"/>
              </a:solidFill>
            </a:rPr>
            <a:t> F</a:t>
          </a:r>
          <a:r>
            <a:rPr lang="en-US" sz="2400" b="1">
              <a:solidFill>
                <a:schemeClr val="bg1"/>
              </a:solidFill>
            </a:rPr>
            <a:t>inance Budget Dashboard</a:t>
          </a:r>
        </a:p>
      </xdr:txBody>
    </xdr:sp>
    <xdr:clientData/>
  </xdr:twoCellAnchor>
  <xdr:twoCellAnchor editAs="oneCell">
    <xdr:from>
      <xdr:col>0</xdr:col>
      <xdr:colOff>0</xdr:colOff>
      <xdr:row>9</xdr:row>
      <xdr:rowOff>101600</xdr:rowOff>
    </xdr:from>
    <xdr:to>
      <xdr:col>3</xdr:col>
      <xdr:colOff>0</xdr:colOff>
      <xdr:row>23</xdr:row>
      <xdr:rowOff>142872</xdr:rowOff>
    </xdr:to>
    <mc:AlternateContent xmlns:mc="http://schemas.openxmlformats.org/markup-compatibility/2006">
      <mc:Choice xmlns:a14="http://schemas.microsoft.com/office/drawing/2010/main" Requires="a14">
        <xdr:graphicFrame macro="">
          <xdr:nvGraphicFramePr>
            <xdr:cNvPr id="4" name="Actual amoun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dr:sp macro="" textlink="">
          <xdr:nvSpPr>
            <xdr:cNvPr id="0" name=""/>
            <xdr:cNvSpPr>
              <a:spLocks noTextEdit="1"/>
            </xdr:cNvSpPr>
          </xdr:nvSpPr>
          <xdr:spPr>
            <a:xfrm>
              <a:off x="0" y="1730375"/>
              <a:ext cx="1857375" cy="2574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27305</xdr:colOff>
      <xdr:row>4</xdr:row>
      <xdr:rowOff>46355</xdr:rowOff>
    </xdr:from>
    <xdr:to>
      <xdr:col>3</xdr:col>
      <xdr:colOff>593725</xdr:colOff>
      <xdr:row>10</xdr:row>
      <xdr:rowOff>13970</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27305" y="770255"/>
          <a:ext cx="2423795" cy="105346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95250</xdr:colOff>
      <xdr:row>4</xdr:row>
      <xdr:rowOff>63500</xdr:rowOff>
    </xdr:from>
    <xdr:to>
      <xdr:col>1</xdr:col>
      <xdr:colOff>400050</xdr:colOff>
      <xdr:row>9</xdr:row>
      <xdr:rowOff>57150</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95250" y="787400"/>
          <a:ext cx="923925" cy="898525"/>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527050</xdr:colOff>
      <xdr:row>5</xdr:row>
      <xdr:rowOff>19050</xdr:rowOff>
    </xdr:from>
    <xdr:to>
      <xdr:col>3</xdr:col>
      <xdr:colOff>533400</xdr:colOff>
      <xdr:row>6</xdr:row>
      <xdr:rowOff>88900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146175" y="923925"/>
          <a:ext cx="1244600"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expenses</a:t>
          </a:r>
        </a:p>
      </xdr:txBody>
    </xdr:sp>
    <xdr:clientData/>
  </xdr:twoCellAnchor>
  <xdr:twoCellAnchor>
    <xdr:from>
      <xdr:col>1</xdr:col>
      <xdr:colOff>593725</xdr:colOff>
      <xdr:row>7</xdr:row>
      <xdr:rowOff>101600</xdr:rowOff>
    </xdr:from>
    <xdr:to>
      <xdr:col>3</xdr:col>
      <xdr:colOff>495300</xdr:colOff>
      <xdr:row>8</xdr:row>
      <xdr:rowOff>139065</xdr:rowOff>
    </xdr:to>
    <xdr:sp macro="" textlink="Sheet2!H6">
      <xdr:nvSpPr>
        <xdr:cNvPr id="8" name="TextBox 7">
          <a:extLst>
            <a:ext uri="{FF2B5EF4-FFF2-40B4-BE49-F238E27FC236}">
              <a16:creationId xmlns:a16="http://schemas.microsoft.com/office/drawing/2014/main" id="{00000000-0008-0000-0100-000008000000}"/>
            </a:ext>
          </a:extLst>
        </xdr:cNvPr>
        <xdr:cNvSpPr txBox="1"/>
      </xdr:nvSpPr>
      <xdr:spPr>
        <a:xfrm>
          <a:off x="1212850" y="1368425"/>
          <a:ext cx="1139825" cy="218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F88B9-1653-48F9-B037-D29BE5E0A9CA}" type="TxLink">
            <a:rPr lang="en-US" sz="1100" b="0" i="0" u="none" strike="noStrike">
              <a:solidFill>
                <a:srgbClr val="000000"/>
              </a:solidFill>
              <a:latin typeface="Aptos Narrow"/>
            </a:rPr>
            <a:pPr/>
            <a:t>280300</a:t>
          </a:fld>
          <a:endParaRPr lang="en-US" sz="1100"/>
        </a:p>
      </xdr:txBody>
    </xdr:sp>
    <xdr:clientData/>
  </xdr:twoCellAnchor>
  <xdr:twoCellAnchor>
    <xdr:from>
      <xdr:col>4</xdr:col>
      <xdr:colOff>0</xdr:colOff>
      <xdr:row>4</xdr:row>
      <xdr:rowOff>0</xdr:rowOff>
    </xdr:from>
    <xdr:to>
      <xdr:col>8</xdr:col>
      <xdr:colOff>16510</xdr:colOff>
      <xdr:row>9</xdr:row>
      <xdr:rowOff>158750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2476500" y="723900"/>
          <a:ext cx="2493010" cy="10636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13335</xdr:colOff>
      <xdr:row>4</xdr:row>
      <xdr:rowOff>36830</xdr:rowOff>
    </xdr:from>
    <xdr:to>
      <xdr:col>5</xdr:col>
      <xdr:colOff>330200</xdr:colOff>
      <xdr:row>9</xdr:row>
      <xdr:rowOff>34290</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2489835" y="760730"/>
          <a:ext cx="935990" cy="902335"/>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457200</xdr:colOff>
      <xdr:row>4</xdr:row>
      <xdr:rowOff>177800</xdr:rowOff>
    </xdr:from>
    <xdr:to>
      <xdr:col>7</xdr:col>
      <xdr:colOff>463550</xdr:colOff>
      <xdr:row>6</xdr:row>
      <xdr:rowOff>63500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3552825" y="901700"/>
          <a:ext cx="12446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p>
      </xdr:txBody>
    </xdr:sp>
    <xdr:clientData/>
  </xdr:twoCellAnchor>
  <xdr:twoCellAnchor>
    <xdr:from>
      <xdr:col>5</xdr:col>
      <xdr:colOff>533400</xdr:colOff>
      <xdr:row>7</xdr:row>
      <xdr:rowOff>76200</xdr:rowOff>
    </xdr:from>
    <xdr:to>
      <xdr:col>7</xdr:col>
      <xdr:colOff>425450</xdr:colOff>
      <xdr:row>8</xdr:row>
      <xdr:rowOff>114300</xdr:rowOff>
    </xdr:to>
    <xdr:sp macro="" textlink="Sheet2!H15">
      <xdr:nvSpPr>
        <xdr:cNvPr id="12" name="TextBox 11">
          <a:extLst>
            <a:ext uri="{FF2B5EF4-FFF2-40B4-BE49-F238E27FC236}">
              <a16:creationId xmlns:a16="http://schemas.microsoft.com/office/drawing/2014/main" id="{00000000-0008-0000-0100-00000C000000}"/>
            </a:ext>
          </a:extLst>
        </xdr:cNvPr>
        <xdr:cNvSpPr txBox="1"/>
      </xdr:nvSpPr>
      <xdr:spPr>
        <a:xfrm>
          <a:off x="3629025" y="1343025"/>
          <a:ext cx="11303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57998A-078B-435E-8657-9EF21288C5B9}" type="TxLink">
            <a:rPr lang="en-US" sz="1100" b="0" i="0" u="none" strike="noStrike">
              <a:solidFill>
                <a:srgbClr val="000000"/>
              </a:solidFill>
              <a:latin typeface="Aptos Narrow"/>
            </a:rPr>
            <a:pPr/>
            <a:t>4750.847458</a:t>
          </a:fld>
          <a:endParaRPr lang="en-US" sz="1100"/>
        </a:p>
      </xdr:txBody>
    </xdr:sp>
    <xdr:clientData/>
  </xdr:twoCellAnchor>
  <xdr:twoCellAnchor>
    <xdr:from>
      <xdr:col>7</xdr:col>
      <xdr:colOff>596900</xdr:colOff>
      <xdr:row>4</xdr:row>
      <xdr:rowOff>12700</xdr:rowOff>
    </xdr:from>
    <xdr:to>
      <xdr:col>11</xdr:col>
      <xdr:colOff>501650</xdr:colOff>
      <xdr:row>9</xdr:row>
      <xdr:rowOff>76200</xdr:rowOff>
    </xdr:to>
    <xdr:sp macro="" textlink="">
      <xdr:nvSpPr>
        <xdr:cNvPr id="17" name="Rectangle: Rounded Corners 16">
          <a:extLst>
            <a:ext uri="{FF2B5EF4-FFF2-40B4-BE49-F238E27FC236}">
              <a16:creationId xmlns:a16="http://schemas.microsoft.com/office/drawing/2014/main" id="{00000000-0008-0000-0100-000011000000}"/>
            </a:ext>
          </a:extLst>
        </xdr:cNvPr>
        <xdr:cNvSpPr/>
      </xdr:nvSpPr>
      <xdr:spPr>
        <a:xfrm>
          <a:off x="4930775" y="736600"/>
          <a:ext cx="2381250" cy="96837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25400</xdr:colOff>
      <xdr:row>4</xdr:row>
      <xdr:rowOff>38100</xdr:rowOff>
    </xdr:from>
    <xdr:to>
      <xdr:col>9</xdr:col>
      <xdr:colOff>330200</xdr:colOff>
      <xdr:row>9</xdr:row>
      <xdr:rowOff>31750</xdr:rowOff>
    </xdr:to>
    <xdr:sp macro="" textlink="">
      <xdr:nvSpPr>
        <xdr:cNvPr id="18" name="Rectangle: Rounded Corners 17">
          <a:extLst>
            <a:ext uri="{FF2B5EF4-FFF2-40B4-BE49-F238E27FC236}">
              <a16:creationId xmlns:a16="http://schemas.microsoft.com/office/drawing/2014/main" id="{00000000-0008-0000-0100-000012000000}"/>
            </a:ext>
          </a:extLst>
        </xdr:cNvPr>
        <xdr:cNvSpPr/>
      </xdr:nvSpPr>
      <xdr:spPr>
        <a:xfrm>
          <a:off x="4978400" y="762000"/>
          <a:ext cx="923925" cy="898525"/>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457200</xdr:colOff>
      <xdr:row>4</xdr:row>
      <xdr:rowOff>57150</xdr:rowOff>
    </xdr:from>
    <xdr:to>
      <xdr:col>11</xdr:col>
      <xdr:colOff>463550</xdr:colOff>
      <xdr:row>6</xdr:row>
      <xdr:rowOff>127000</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6029325" y="781050"/>
          <a:ext cx="12446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 expenses by month</a:t>
          </a:r>
        </a:p>
      </xdr:txBody>
    </xdr:sp>
    <xdr:clientData/>
  </xdr:twoCellAnchor>
  <xdr:twoCellAnchor>
    <xdr:from>
      <xdr:col>9</xdr:col>
      <xdr:colOff>533400</xdr:colOff>
      <xdr:row>7</xdr:row>
      <xdr:rowOff>57150</xdr:rowOff>
    </xdr:from>
    <xdr:to>
      <xdr:col>11</xdr:col>
      <xdr:colOff>425450</xdr:colOff>
      <xdr:row>8</xdr:row>
      <xdr:rowOff>152400</xdr:rowOff>
    </xdr:to>
    <xdr:sp macro="" textlink="Sheet2!H29">
      <xdr:nvSpPr>
        <xdr:cNvPr id="20" name="TextBox 19">
          <a:extLst>
            <a:ext uri="{FF2B5EF4-FFF2-40B4-BE49-F238E27FC236}">
              <a16:creationId xmlns:a16="http://schemas.microsoft.com/office/drawing/2014/main" id="{00000000-0008-0000-0100-000014000000}"/>
            </a:ext>
          </a:extLst>
        </xdr:cNvPr>
        <xdr:cNvSpPr txBox="1"/>
      </xdr:nvSpPr>
      <xdr:spPr>
        <a:xfrm>
          <a:off x="6105525" y="1323975"/>
          <a:ext cx="11303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AE52AD-1BCE-4D7D-BBBA-81314C4110BF}" type="TxLink">
            <a:rPr lang="en-US" sz="1100" b="0" i="0" u="none" strike="noStrike">
              <a:solidFill>
                <a:srgbClr val="000000"/>
              </a:solidFill>
              <a:latin typeface="Aptos Narrow"/>
            </a:rPr>
            <a:pPr/>
            <a:t>4780</a:t>
          </a:fld>
          <a:endParaRPr lang="en-US" sz="1100"/>
        </a:p>
      </xdr:txBody>
    </xdr:sp>
    <xdr:clientData/>
  </xdr:twoCellAnchor>
  <xdr:twoCellAnchor editAs="oneCell">
    <xdr:from>
      <xdr:col>8</xdr:col>
      <xdr:colOff>19050</xdr:colOff>
      <xdr:row>4</xdr:row>
      <xdr:rowOff>57150</xdr:rowOff>
    </xdr:from>
    <xdr:to>
      <xdr:col>9</xdr:col>
      <xdr:colOff>323850</xdr:colOff>
      <xdr:row>9</xdr:row>
      <xdr:rowOff>50800</xdr:rowOff>
    </xdr:to>
    <xdr:pic>
      <xdr:nvPicPr>
        <xdr:cNvPr id="26" name="Graphic 25" descr="No sign with solid fill">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72050" y="781050"/>
          <a:ext cx="923925" cy="898525"/>
        </a:xfrm>
        <a:prstGeom prst="rect">
          <a:avLst/>
        </a:prstGeom>
      </xdr:spPr>
    </xdr:pic>
    <xdr:clientData/>
  </xdr:twoCellAnchor>
  <xdr:twoCellAnchor editAs="oneCell">
    <xdr:from>
      <xdr:col>4</xdr:col>
      <xdr:colOff>53975</xdr:colOff>
      <xdr:row>4</xdr:row>
      <xdr:rowOff>29210</xdr:rowOff>
    </xdr:from>
    <xdr:to>
      <xdr:col>5</xdr:col>
      <xdr:colOff>359410</xdr:colOff>
      <xdr:row>9</xdr:row>
      <xdr:rowOff>22860</xdr:rowOff>
    </xdr:to>
    <xdr:pic>
      <xdr:nvPicPr>
        <xdr:cNvPr id="28" name="Graphic 27" descr="Money with solid fill">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30475" y="753110"/>
          <a:ext cx="924560" cy="898525"/>
        </a:xfrm>
        <a:prstGeom prst="rect">
          <a:avLst/>
        </a:prstGeom>
      </xdr:spPr>
    </xdr:pic>
    <xdr:clientData/>
  </xdr:twoCellAnchor>
  <xdr:twoCellAnchor editAs="oneCell">
    <xdr:from>
      <xdr:col>0</xdr:col>
      <xdr:colOff>109500</xdr:colOff>
      <xdr:row>3</xdr:row>
      <xdr:rowOff>179350</xdr:rowOff>
    </xdr:from>
    <xdr:to>
      <xdr:col>1</xdr:col>
      <xdr:colOff>414300</xdr:colOff>
      <xdr:row>8</xdr:row>
      <xdr:rowOff>173000</xdr:rowOff>
    </xdr:to>
    <xdr:pic>
      <xdr:nvPicPr>
        <xdr:cNvPr id="30" name="Graphic 29" descr="Coins with solid fill">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500" y="722275"/>
          <a:ext cx="923925" cy="898525"/>
        </a:xfrm>
        <a:prstGeom prst="rect">
          <a:avLst/>
        </a:prstGeom>
      </xdr:spPr>
    </xdr:pic>
    <xdr:clientData/>
  </xdr:twoCellAnchor>
  <xdr:twoCellAnchor editAs="oneCell">
    <xdr:from>
      <xdr:col>0</xdr:col>
      <xdr:colOff>0</xdr:colOff>
      <xdr:row>23</xdr:row>
      <xdr:rowOff>146050</xdr:rowOff>
    </xdr:from>
    <xdr:to>
      <xdr:col>3</xdr:col>
      <xdr:colOff>0</xdr:colOff>
      <xdr:row>38</xdr:row>
      <xdr:rowOff>3172</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4308475"/>
              <a:ext cx="1857375" cy="2571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34</xdr:row>
      <xdr:rowOff>172085</xdr:rowOff>
    </xdr:from>
    <xdr:to>
      <xdr:col>3</xdr:col>
      <xdr:colOff>0</xdr:colOff>
      <xdr:row>52</xdr:row>
      <xdr:rowOff>40640</xdr:rowOff>
    </xdr:to>
    <mc:AlternateContent xmlns:mc="http://schemas.openxmlformats.org/markup-compatibility/2006">
      <mc:Choice xmlns:a14="http://schemas.microsoft.com/office/drawing/2010/main" Requires="a14">
        <xdr:graphicFrame macro="">
          <xdr:nvGraphicFramePr>
            <xdr:cNvPr id="14" name="Discription 1">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dr:sp macro="" textlink="">
          <xdr:nvSpPr>
            <xdr:cNvPr id="0" name=""/>
            <xdr:cNvSpPr>
              <a:spLocks noTextEdit="1"/>
            </xdr:cNvSpPr>
          </xdr:nvSpPr>
          <xdr:spPr>
            <a:xfrm>
              <a:off x="12700" y="6325235"/>
              <a:ext cx="1844675" cy="3126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9</xdr:row>
      <xdr:rowOff>177800</xdr:rowOff>
    </xdr:from>
    <xdr:to>
      <xdr:col>10</xdr:col>
      <xdr:colOff>31750</xdr:colOff>
      <xdr:row>25</xdr:row>
      <xdr:rowOff>76200</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1895475" y="1806575"/>
          <a:ext cx="4327525" cy="27940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133350</xdr:colOff>
      <xdr:row>10</xdr:row>
      <xdr:rowOff>0</xdr:rowOff>
    </xdr:from>
    <xdr:to>
      <xdr:col>17</xdr:col>
      <xdr:colOff>57150</xdr:colOff>
      <xdr:row>25</xdr:row>
      <xdr:rowOff>82550</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a:off x="6324600" y="1809750"/>
          <a:ext cx="4257675" cy="279717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0</xdr:colOff>
      <xdr:row>25</xdr:row>
      <xdr:rowOff>107950</xdr:rowOff>
    </xdr:from>
    <xdr:to>
      <xdr:col>10</xdr:col>
      <xdr:colOff>57150</xdr:colOff>
      <xdr:row>41</xdr:row>
      <xdr:rowOff>82550</xdr:rowOff>
    </xdr:to>
    <xdr:sp macro="" textlink="">
      <xdr:nvSpPr>
        <xdr:cNvPr id="22" name="Rectangle 21">
          <a:extLst>
            <a:ext uri="{FF2B5EF4-FFF2-40B4-BE49-F238E27FC236}">
              <a16:creationId xmlns:a16="http://schemas.microsoft.com/office/drawing/2014/main" id="{00000000-0008-0000-0100-000016000000}"/>
            </a:ext>
          </a:extLst>
        </xdr:cNvPr>
        <xdr:cNvSpPr/>
      </xdr:nvSpPr>
      <xdr:spPr>
        <a:xfrm>
          <a:off x="1857375" y="4632325"/>
          <a:ext cx="4391025" cy="28702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133350</xdr:colOff>
      <xdr:row>10</xdr:row>
      <xdr:rowOff>63500</xdr:rowOff>
    </xdr:from>
    <xdr:to>
      <xdr:col>9</xdr:col>
      <xdr:colOff>552450</xdr:colOff>
      <xdr:row>25</xdr:row>
      <xdr:rowOff>6350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36830</xdr:colOff>
      <xdr:row>10</xdr:row>
      <xdr:rowOff>79375</xdr:rowOff>
    </xdr:from>
    <xdr:to>
      <xdr:col>16</xdr:col>
      <xdr:colOff>576580</xdr:colOff>
      <xdr:row>25</xdr:row>
      <xdr:rowOff>2540</xdr:rowOff>
    </xdr:to>
    <xdr:graphicFrame macro="">
      <xdr:nvGraphicFramePr>
        <xdr:cNvPr id="27" name="Chart 26">
          <a:extLst>
            <a:ext uri="{FF2B5EF4-FFF2-40B4-BE49-F238E27FC236}">
              <a16:creationId xmlns:a16="http://schemas.microsoft.com/office/drawing/2014/main" id="{00000000-0008-0000-01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82550</xdr:colOff>
      <xdr:row>25</xdr:row>
      <xdr:rowOff>76200</xdr:rowOff>
    </xdr:from>
    <xdr:to>
      <xdr:col>10</xdr:col>
      <xdr:colOff>12700</xdr:colOff>
      <xdr:row>41</xdr:row>
      <xdr:rowOff>44450</xdr:rowOff>
    </xdr:to>
    <xdr:graphicFrame macro="">
      <xdr:nvGraphicFramePr>
        <xdr:cNvPr id="29" name="Chart 28">
          <a:extLst>
            <a:ext uri="{FF2B5EF4-FFF2-40B4-BE49-F238E27FC236}">
              <a16:creationId xmlns:a16="http://schemas.microsoft.com/office/drawing/2014/main" id="{00000000-0008-0000-01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501015</xdr:colOff>
      <xdr:row>4</xdr:row>
      <xdr:rowOff>22860</xdr:rowOff>
    </xdr:from>
    <xdr:to>
      <xdr:col>17</xdr:col>
      <xdr:colOff>13970</xdr:colOff>
      <xdr:row>10</xdr:row>
      <xdr:rowOff>24765</xdr:rowOff>
    </xdr:to>
    <xdr:sp macro="" textlink="">
      <xdr:nvSpPr>
        <xdr:cNvPr id="15" name="Rectangles 14">
          <a:extLst>
            <a:ext uri="{FF2B5EF4-FFF2-40B4-BE49-F238E27FC236}">
              <a16:creationId xmlns:a16="http://schemas.microsoft.com/office/drawing/2014/main" id="{00000000-0008-0000-0100-00000F000000}"/>
            </a:ext>
          </a:extLst>
        </xdr:cNvPr>
        <xdr:cNvSpPr/>
      </xdr:nvSpPr>
      <xdr:spPr>
        <a:xfrm>
          <a:off x="7311390" y="746760"/>
          <a:ext cx="3227705" cy="1087755"/>
        </a:xfrm>
        <a:prstGeom prst="rect">
          <a:avLst/>
        </a:prstGeom>
        <a:solidFill>
          <a:sysClr val="window" lastClr="FFFFFF"/>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3.412468055598" createdVersion="8" refreshedVersion="8" minRefreshableVersion="3" recordCount="61" xr:uid="{00000000-000A-0000-FFFF-FFFF00000000}">
  <cacheSource type="worksheet">
    <worksheetSource ref="A1:E62" sheet="Sheet2"/>
  </cacheSource>
  <cacheFields count="7">
    <cacheField name="Date" numFmtId="0">
      <sharedItems containsNonDate="0" containsDate="1" containsString="0" containsBlank="1" minDate="2025-01-05T00:00:00" maxDate="2025-12-26T00:00:00" count="61">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m/>
      </sharedItems>
    </cacheField>
    <cacheField name="Month" numFmtId="0">
      <sharedItems containsNonDate="0" containsBlank="1"/>
    </cacheField>
    <cacheField name="Category" numFmtId="0">
      <sharedItems containsBlank="1" count="6">
        <s v="Rent"/>
        <s v="Food"/>
        <s v="Transport"/>
        <s v="Entertainment"/>
        <s v="Utilities"/>
        <m/>
      </sharedItems>
    </cacheField>
    <cacheField name="Discription" numFmtId="0">
      <sharedItems containsBlank="1" count="15">
        <s v="House Rent"/>
        <s v="Groceries"/>
        <s v="Bus&amp;Fuel"/>
        <s v="Movies"/>
        <s v="Electricity bill"/>
        <s v="Water&amp;Power"/>
        <s v="Bus pass"/>
        <s v="Outgoing"/>
        <s v="Fuel"/>
        <s v="Shopping"/>
        <s v="Trip"/>
        <s v="Festival Shopping"/>
        <s v="Travel"/>
        <s v="Year-End Party"/>
        <m/>
      </sharedItems>
    </cacheField>
    <cacheField name="Actual amount" numFmtId="0">
      <sharedItems containsString="0" containsBlank="1" containsNumber="1" containsInteger="1" minValue="1500" maxValue="12000" count="34">
        <n v="12000"/>
        <n v="4200"/>
        <n v="2800"/>
        <n v="2300"/>
        <n v="2600"/>
        <n v="5100"/>
        <n v="3200"/>
        <n v="1900"/>
        <n v="2400"/>
        <n v="3900"/>
        <n v="1500"/>
        <n v="4500"/>
        <n v="3000"/>
        <n v="2200"/>
        <n v="2500"/>
        <n v="4800"/>
        <n v="2900"/>
        <n v="2100"/>
        <n v="5200"/>
        <n v="3300"/>
        <n v="2700"/>
        <n v="4100"/>
        <n v="1800"/>
        <n v="4700"/>
        <n v="3100"/>
        <n v="4300"/>
        <n v="2000"/>
        <n v="5000"/>
        <n v="3500"/>
        <n v="4600"/>
        <n v="5400"/>
        <n v="3600"/>
        <n v="4000"/>
        <m/>
      </sharedItems>
    </cacheField>
    <cacheField name="Days (Date)" numFmtId="0" databaseField="0">
      <fieldGroup base="0">
        <rangePr groupBy="days" startDate="2025-01-05T00:00:00" endDate="2025-12-27T00:00:00"/>
        <groupItems count="368">
          <s v="&lt;1/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7/2025"/>
        </groupItems>
      </fieldGroup>
    </cacheField>
    <cacheField name="Months (Date)" numFmtId="0" databaseField="0">
      <fieldGroup base="0">
        <rangePr groupBy="months" startDate="2025-01-05T00:00:00" endDate="2025-12-27T00:00:00"/>
        <groupItems count="14">
          <s v="&lt;1/5/2025"/>
          <s v="Jan"/>
          <s v="Feb"/>
          <s v="Mar"/>
          <s v="Apr"/>
          <s v="May"/>
          <s v="Jun"/>
          <s v="Jul"/>
          <s v="Aug"/>
          <s v="Sep"/>
          <s v="Oct"/>
          <s v="Nov"/>
          <s v="Dec"/>
          <s v="&gt;12/2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1">
  <r>
    <x v="0"/>
    <s v="January"/>
    <x v="0"/>
    <x v="0"/>
    <x v="0"/>
  </r>
  <r>
    <x v="1"/>
    <s v="January"/>
    <x v="1"/>
    <x v="1"/>
    <x v="1"/>
  </r>
  <r>
    <x v="2"/>
    <s v="January"/>
    <x v="2"/>
    <x v="2"/>
    <x v="2"/>
  </r>
  <r>
    <x v="3"/>
    <s v="January"/>
    <x v="3"/>
    <x v="3"/>
    <x v="3"/>
  </r>
  <r>
    <x v="4"/>
    <s v="January"/>
    <x v="4"/>
    <x v="4"/>
    <x v="4"/>
  </r>
  <r>
    <x v="5"/>
    <s v="February"/>
    <x v="0"/>
    <x v="0"/>
    <x v="0"/>
  </r>
  <r>
    <x v="6"/>
    <s v="February"/>
    <x v="1"/>
    <x v="1"/>
    <x v="5"/>
  </r>
  <r>
    <x v="7"/>
    <s v="February"/>
    <x v="2"/>
    <x v="2"/>
    <x v="6"/>
  </r>
  <r>
    <x v="8"/>
    <s v="February"/>
    <x v="3"/>
    <x v="3"/>
    <x v="7"/>
  </r>
  <r>
    <x v="9"/>
    <s v="February"/>
    <x v="4"/>
    <x v="5"/>
    <x v="8"/>
  </r>
  <r>
    <x v="10"/>
    <s v="March"/>
    <x v="0"/>
    <x v="0"/>
    <x v="0"/>
  </r>
  <r>
    <x v="11"/>
    <s v="March"/>
    <x v="1"/>
    <x v="1"/>
    <x v="9"/>
  </r>
  <r>
    <x v="12"/>
    <s v="March"/>
    <x v="2"/>
    <x v="6"/>
    <x v="4"/>
  </r>
  <r>
    <x v="13"/>
    <s v="March"/>
    <x v="3"/>
    <x v="7"/>
    <x v="10"/>
  </r>
  <r>
    <x v="14"/>
    <s v="March"/>
    <x v="4"/>
    <x v="4"/>
    <x v="3"/>
  </r>
  <r>
    <x v="15"/>
    <s v="April"/>
    <x v="0"/>
    <x v="0"/>
    <x v="0"/>
  </r>
  <r>
    <x v="16"/>
    <s v="April"/>
    <x v="1"/>
    <x v="1"/>
    <x v="11"/>
  </r>
  <r>
    <x v="17"/>
    <s v="April"/>
    <x v="2"/>
    <x v="8"/>
    <x v="12"/>
  </r>
  <r>
    <x v="18"/>
    <s v="April"/>
    <x v="3"/>
    <x v="3"/>
    <x v="13"/>
  </r>
  <r>
    <x v="19"/>
    <s v="April"/>
    <x v="4"/>
    <x v="4"/>
    <x v="14"/>
  </r>
  <r>
    <x v="20"/>
    <s v="May"/>
    <x v="0"/>
    <x v="0"/>
    <x v="0"/>
  </r>
  <r>
    <x v="21"/>
    <s v="May"/>
    <x v="1"/>
    <x v="1"/>
    <x v="15"/>
  </r>
  <r>
    <x v="22"/>
    <s v="May"/>
    <x v="2"/>
    <x v="8"/>
    <x v="16"/>
  </r>
  <r>
    <x v="23"/>
    <s v="May"/>
    <x v="3"/>
    <x v="9"/>
    <x v="17"/>
  </r>
  <r>
    <x v="24"/>
    <s v="May"/>
    <x v="4"/>
    <x v="4"/>
    <x v="4"/>
  </r>
  <r>
    <x v="25"/>
    <s v="June"/>
    <x v="0"/>
    <x v="0"/>
    <x v="0"/>
  </r>
  <r>
    <x v="26"/>
    <s v="June"/>
    <x v="1"/>
    <x v="1"/>
    <x v="18"/>
  </r>
  <r>
    <x v="27"/>
    <s v="June"/>
    <x v="2"/>
    <x v="8"/>
    <x v="19"/>
  </r>
  <r>
    <x v="28"/>
    <s v="June"/>
    <x v="3"/>
    <x v="10"/>
    <x v="2"/>
  </r>
  <r>
    <x v="29"/>
    <s v="June"/>
    <x v="4"/>
    <x v="4"/>
    <x v="20"/>
  </r>
  <r>
    <x v="30"/>
    <s v="July"/>
    <x v="0"/>
    <x v="0"/>
    <x v="0"/>
  </r>
  <r>
    <x v="31"/>
    <s v="July"/>
    <x v="1"/>
    <x v="1"/>
    <x v="21"/>
  </r>
  <r>
    <x v="32"/>
    <s v="July"/>
    <x v="2"/>
    <x v="6"/>
    <x v="4"/>
  </r>
  <r>
    <x v="33"/>
    <s v="July"/>
    <x v="3"/>
    <x v="3"/>
    <x v="22"/>
  </r>
  <r>
    <x v="34"/>
    <s v="July"/>
    <x v="4"/>
    <x v="4"/>
    <x v="8"/>
  </r>
  <r>
    <x v="35"/>
    <s v="August"/>
    <x v="0"/>
    <x v="0"/>
    <x v="0"/>
  </r>
  <r>
    <x v="36"/>
    <s v="August"/>
    <x v="1"/>
    <x v="1"/>
    <x v="23"/>
  </r>
  <r>
    <x v="37"/>
    <s v="August"/>
    <x v="2"/>
    <x v="8"/>
    <x v="24"/>
  </r>
  <r>
    <x v="38"/>
    <s v="August"/>
    <x v="3"/>
    <x v="9"/>
    <x v="13"/>
  </r>
  <r>
    <x v="39"/>
    <s v="August"/>
    <x v="4"/>
    <x v="4"/>
    <x v="14"/>
  </r>
  <r>
    <x v="40"/>
    <s v="September"/>
    <x v="0"/>
    <x v="0"/>
    <x v="0"/>
  </r>
  <r>
    <x v="41"/>
    <s v="September"/>
    <x v="1"/>
    <x v="1"/>
    <x v="25"/>
  </r>
  <r>
    <x v="42"/>
    <s v="September"/>
    <x v="2"/>
    <x v="6"/>
    <x v="20"/>
  </r>
  <r>
    <x v="43"/>
    <s v="September"/>
    <x v="3"/>
    <x v="7"/>
    <x v="26"/>
  </r>
  <r>
    <x v="44"/>
    <s v="September"/>
    <x v="4"/>
    <x v="4"/>
    <x v="8"/>
  </r>
  <r>
    <x v="45"/>
    <s v="October"/>
    <x v="0"/>
    <x v="0"/>
    <x v="0"/>
  </r>
  <r>
    <x v="46"/>
    <s v="October"/>
    <x v="1"/>
    <x v="1"/>
    <x v="27"/>
  </r>
  <r>
    <x v="47"/>
    <s v="October"/>
    <x v="2"/>
    <x v="8"/>
    <x v="6"/>
  </r>
  <r>
    <x v="48"/>
    <s v="October"/>
    <x v="3"/>
    <x v="11"/>
    <x v="28"/>
  </r>
  <r>
    <x v="49"/>
    <s v="October"/>
    <x v="4"/>
    <x v="4"/>
    <x v="2"/>
  </r>
  <r>
    <x v="50"/>
    <s v="November"/>
    <x v="0"/>
    <x v="0"/>
    <x v="0"/>
  </r>
  <r>
    <x v="51"/>
    <s v="November"/>
    <x v="1"/>
    <x v="1"/>
    <x v="29"/>
  </r>
  <r>
    <x v="52"/>
    <s v="November"/>
    <x v="2"/>
    <x v="8"/>
    <x v="12"/>
  </r>
  <r>
    <x v="53"/>
    <s v="November"/>
    <x v="3"/>
    <x v="3"/>
    <x v="17"/>
  </r>
  <r>
    <x v="54"/>
    <s v="November"/>
    <x v="4"/>
    <x v="4"/>
    <x v="4"/>
  </r>
  <r>
    <x v="55"/>
    <s v="December"/>
    <x v="0"/>
    <x v="0"/>
    <x v="0"/>
  </r>
  <r>
    <x v="56"/>
    <s v="December"/>
    <x v="1"/>
    <x v="1"/>
    <x v="30"/>
  </r>
  <r>
    <x v="57"/>
    <s v="December"/>
    <x v="2"/>
    <x v="12"/>
    <x v="31"/>
  </r>
  <r>
    <x v="58"/>
    <s v="December"/>
    <x v="3"/>
    <x v="13"/>
    <x v="32"/>
  </r>
  <r>
    <x v="59"/>
    <s v="December"/>
    <x v="4"/>
    <x v="4"/>
    <x v="12"/>
  </r>
  <r>
    <x v="60"/>
    <m/>
    <x v="5"/>
    <x v="14"/>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G3:H17" firstHeaderRow="1" firstDataRow="1" firstDataCol="1"/>
  <pivotFields count="7">
    <pivotField axis="axisRow"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dataField="1" showAll="0">
      <items count="16">
        <item x="6"/>
        <item x="2"/>
        <item x="4"/>
        <item x="11"/>
        <item x="8"/>
        <item x="1"/>
        <item x="0"/>
        <item x="3"/>
        <item x="7"/>
        <item x="9"/>
        <item x="12"/>
        <item x="10"/>
        <item x="5"/>
        <item x="13"/>
        <item x="14"/>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4">
    <i>
      <x/>
    </i>
    <i>
      <x v="1"/>
    </i>
    <i>
      <x v="2"/>
    </i>
    <i>
      <x v="3"/>
    </i>
    <i>
      <x v="4"/>
    </i>
    <i>
      <x v="5"/>
    </i>
    <i>
      <x v="6"/>
    </i>
    <i>
      <x v="7"/>
    </i>
    <i>
      <x v="8"/>
    </i>
    <i>
      <x v="9"/>
    </i>
    <i>
      <x v="10"/>
    </i>
    <i>
      <x v="11"/>
    </i>
    <i>
      <x v="12"/>
    </i>
    <i t="grand">
      <x/>
    </i>
  </rowItems>
  <colItems count="1">
    <i/>
  </colItems>
  <dataFields count="1">
    <dataField name="Count of Discription" fld="3"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D3:E17" firstHeaderRow="1" firstDataRow="1" firstDataCol="1"/>
  <pivotFields count="7">
    <pivotField axis="axisRow"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axis="axisRow" dataField="1" showAll="0">
      <items count="7">
        <item x="3"/>
        <item x="1"/>
        <item x="0"/>
        <item x="2"/>
        <item x="4"/>
        <item x="5"/>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6"/>
    <field x="5"/>
    <field x="0"/>
    <field x="2"/>
  </rowFields>
  <rowItems count="14">
    <i>
      <x/>
    </i>
    <i>
      <x v="1"/>
    </i>
    <i>
      <x v="2"/>
    </i>
    <i>
      <x v="3"/>
    </i>
    <i>
      <x v="4"/>
    </i>
    <i>
      <x v="5"/>
    </i>
    <i>
      <x v="6"/>
    </i>
    <i>
      <x v="7"/>
    </i>
    <i>
      <x v="8"/>
    </i>
    <i>
      <x v="9"/>
    </i>
    <i>
      <x v="10"/>
    </i>
    <i>
      <x v="11"/>
    </i>
    <i>
      <x v="12"/>
    </i>
    <i t="grand">
      <x/>
    </i>
  </rowItems>
  <colItems count="1">
    <i/>
  </colItems>
  <dataFields count="1">
    <dataField name="Count of Category" fld="2"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5" minRefreshableVersion="3" useAutoFormatting="1" createdVersion="8" indent="0" outline="1" outlineData="1" multipleFieldFilters="0" chartFormat="4">
  <location ref="A3:B17" firstHeaderRow="1" firstDataRow="1" firstDataCol="1"/>
  <pivotFields count="7">
    <pivotField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items count="7">
        <item x="3"/>
        <item x="1"/>
        <item x="0"/>
        <item x="2"/>
        <item x="4"/>
        <item x="5"/>
        <item t="default"/>
      </items>
    </pivotField>
    <pivotField showAll="0">
      <items count="16">
        <item x="6"/>
        <item x="2"/>
        <item x="4"/>
        <item x="11"/>
        <item x="8"/>
        <item x="1"/>
        <item x="0"/>
        <item x="3"/>
        <item x="7"/>
        <item x="9"/>
        <item x="12"/>
        <item x="10"/>
        <item x="5"/>
        <item x="13"/>
        <item x="14"/>
        <item t="default"/>
      </items>
    </pivotField>
    <pivotField dataField="1" showAll="0">
      <items count="35">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x="3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Sum of Actual amount" fld="4"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 chart="3" format="7">
      <pivotArea type="data" outline="0" fieldPosition="0">
        <references count="2">
          <reference field="4294967294" count="1" selected="0">
            <x v="0"/>
          </reference>
          <reference field="6" count="1" selected="0">
            <x v="6"/>
          </reference>
        </references>
      </pivotArea>
    </chartFormat>
    <chartFormat chart="3" format="8">
      <pivotArea type="data" outline="0" fieldPosition="0">
        <references count="2">
          <reference field="4294967294" count="1" selected="0">
            <x v="0"/>
          </reference>
          <reference field="6" count="1" selected="0">
            <x v="7"/>
          </reference>
        </references>
      </pivotArea>
    </chartFormat>
    <chartFormat chart="3" format="9">
      <pivotArea type="data" outline="0" fieldPosition="0">
        <references count="2">
          <reference field="4294967294" count="1" selected="0">
            <x v="0"/>
          </reference>
          <reference field="6" count="1" selected="0">
            <x v="8"/>
          </reference>
        </references>
      </pivotArea>
    </chartFormat>
    <chartFormat chart="3" format="10">
      <pivotArea type="data" outline="0" fieldPosition="0">
        <references count="2">
          <reference field="4294967294" count="1" selected="0">
            <x v="0"/>
          </reference>
          <reference field="6" count="1" selected="0">
            <x v="9"/>
          </reference>
        </references>
      </pivotArea>
    </chartFormat>
    <chartFormat chart="3" format="11">
      <pivotArea type="data" outline="0" fieldPosition="0">
        <references count="2">
          <reference field="4294967294" count="1" selected="0">
            <x v="0"/>
          </reference>
          <reference field="6" count="1" selected="0">
            <x v="10"/>
          </reference>
        </references>
      </pivotArea>
    </chartFormat>
    <chartFormat chart="3" format="12">
      <pivotArea type="data" outline="0" fieldPosition="0">
        <references count="2">
          <reference field="4294967294" count="1" selected="0">
            <x v="0"/>
          </reference>
          <reference field="6" count="1" selected="0">
            <x v="11"/>
          </reference>
        </references>
      </pivotArea>
    </chartFormat>
    <chartFormat chart="3" format="13">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amount" xr10:uid="{00000000-0013-0000-FFFF-FFFF01000000}" sourceName="Actual amount">
  <pivotTables>
    <pivotTable tabId="3" name="PivotTable1"/>
  </pivotTables>
  <data>
    <tabular pivotCacheId="1">
      <items count="34">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 x="3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00000000-0013-0000-FFFF-FFFF02000000}" sourceName="Discription">
  <pivotTables>
    <pivotTable tabId="3" name="PivotTable1"/>
  </pivotTables>
  <data>
    <tabular pivotCacheId="1">
      <items count="15">
        <i x="6" s="1"/>
        <i x="2" s="1"/>
        <i x="4" s="1"/>
        <i x="11" s="1"/>
        <i x="8" s="1"/>
        <i x="1" s="1"/>
        <i x="0" s="1"/>
        <i x="3" s="1"/>
        <i x="7" s="1"/>
        <i x="9" s="1"/>
        <i x="12" s="1"/>
        <i x="10" s="1"/>
        <i x="5" s="1"/>
        <i x="13" s="1"/>
        <i x="1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3" name="PivotTable1"/>
  </pivotTables>
  <data>
    <tabular pivotCacheId="1">
      <items count="6">
        <i x="3" s="1"/>
        <i x="1" s="1"/>
        <i x="0"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ual amount" xr10:uid="{00000000-0014-0000-FFFF-FFFF03000000}" cache="Slicer_Actual_amount" caption="Actual amount" rowHeight="251883"/>
  <slicer name="Discription" xr10:uid="{00000000-0014-0000-FFFF-FFFF02000000}" cache="Slicer_Discription" caption="Discription" startItem="7" rowHeight="251883"/>
  <slicer name="Category" xr10:uid="{00000000-0014-0000-FFFF-FFFF01000000}" cache="Slicer_Category"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ual amount 1" xr10:uid="{00000000-0014-0000-FFFF-FFFF06000000}" cache="Slicer_Actual_amount" caption="Actual amount" startItem="2" style="SlicerStyleLight6" rowHeight="251883"/>
  <slicer name="Discription 1" xr10:uid="{00000000-0014-0000-FFFF-FFFF05000000}" cache="Slicer_Discription" caption="Discription" startItem="4" style="SlicerStyleLight6" rowHeight="251883"/>
  <slicer name="Category 1" xr10:uid="{00000000-0014-0000-FFFF-FFFF04000000}" cache="Slicer_Category" caption="Category" style="SlicerStyleLigh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17"/>
  <sheetViews>
    <sheetView workbookViewId="0">
      <selection activeCell="S8" sqref="S8"/>
    </sheetView>
  </sheetViews>
  <sheetFormatPr defaultColWidth="9" defaultRowHeight="14.4" x14ac:dyDescent="0.25"/>
  <cols>
    <col min="1" max="1" width="14.21875"/>
    <col min="2" max="2" width="23.109375"/>
    <col min="4" max="4" width="12.44140625" customWidth="1"/>
    <col min="5" max="5" width="15.77734375" customWidth="1"/>
    <col min="7" max="7" width="12.44140625" customWidth="1"/>
    <col min="8" max="8" width="17.77734375" customWidth="1"/>
    <col min="10" max="10" width="12.44140625" customWidth="1"/>
    <col min="11" max="11" width="19.33203125" customWidth="1"/>
  </cols>
  <sheetData>
    <row r="3" spans="1:8" x14ac:dyDescent="0.25">
      <c r="A3" t="s">
        <v>0</v>
      </c>
      <c r="B3" t="s">
        <v>1</v>
      </c>
      <c r="D3" t="s">
        <v>0</v>
      </c>
      <c r="E3" t="s">
        <v>2</v>
      </c>
      <c r="G3" t="s">
        <v>0</v>
      </c>
      <c r="H3" t="s">
        <v>3</v>
      </c>
    </row>
    <row r="4" spans="1:8" x14ac:dyDescent="0.25">
      <c r="A4" s="12" t="s">
        <v>4</v>
      </c>
      <c r="D4" s="12" t="s">
        <v>4</v>
      </c>
      <c r="G4" s="12" t="s">
        <v>4</v>
      </c>
    </row>
    <row r="5" spans="1:8" x14ac:dyDescent="0.25">
      <c r="A5" s="12" t="s">
        <v>5</v>
      </c>
      <c r="B5">
        <v>23900</v>
      </c>
      <c r="D5" s="12" t="s">
        <v>5</v>
      </c>
      <c r="E5">
        <v>5</v>
      </c>
      <c r="G5" s="12" t="s">
        <v>5</v>
      </c>
      <c r="H5">
        <v>5</v>
      </c>
    </row>
    <row r="6" spans="1:8" x14ac:dyDescent="0.25">
      <c r="A6" s="12" t="s">
        <v>6</v>
      </c>
      <c r="B6">
        <v>24600</v>
      </c>
      <c r="D6" s="12" t="s">
        <v>6</v>
      </c>
      <c r="E6">
        <v>5</v>
      </c>
      <c r="G6" s="12" t="s">
        <v>6</v>
      </c>
      <c r="H6">
        <v>5</v>
      </c>
    </row>
    <row r="7" spans="1:8" x14ac:dyDescent="0.25">
      <c r="A7" s="12" t="s">
        <v>7</v>
      </c>
      <c r="B7">
        <v>22300</v>
      </c>
      <c r="D7" s="12" t="s">
        <v>7</v>
      </c>
      <c r="E7">
        <v>5</v>
      </c>
      <c r="G7" s="12" t="s">
        <v>7</v>
      </c>
      <c r="H7">
        <v>5</v>
      </c>
    </row>
    <row r="8" spans="1:8" x14ac:dyDescent="0.25">
      <c r="A8" s="12" t="s">
        <v>8</v>
      </c>
      <c r="B8">
        <v>24200</v>
      </c>
      <c r="D8" s="12" t="s">
        <v>8</v>
      </c>
      <c r="E8">
        <v>5</v>
      </c>
      <c r="G8" s="12" t="s">
        <v>8</v>
      </c>
      <c r="H8">
        <v>5</v>
      </c>
    </row>
    <row r="9" spans="1:8" x14ac:dyDescent="0.25">
      <c r="A9" s="12" t="s">
        <v>9</v>
      </c>
      <c r="B9">
        <v>24400</v>
      </c>
      <c r="D9" s="12" t="s">
        <v>9</v>
      </c>
      <c r="E9">
        <v>5</v>
      </c>
      <c r="G9" s="12" t="s">
        <v>9</v>
      </c>
      <c r="H9">
        <v>5</v>
      </c>
    </row>
    <row r="10" spans="1:8" x14ac:dyDescent="0.25">
      <c r="A10" s="12" t="s">
        <v>10</v>
      </c>
      <c r="B10">
        <v>26000</v>
      </c>
      <c r="D10" s="12" t="s">
        <v>10</v>
      </c>
      <c r="E10">
        <v>5</v>
      </c>
      <c r="G10" s="12" t="s">
        <v>10</v>
      </c>
      <c r="H10">
        <v>5</v>
      </c>
    </row>
    <row r="11" spans="1:8" x14ac:dyDescent="0.25">
      <c r="A11" s="12" t="s">
        <v>11</v>
      </c>
      <c r="B11">
        <v>22900</v>
      </c>
      <c r="D11" s="12" t="s">
        <v>11</v>
      </c>
      <c r="E11">
        <v>5</v>
      </c>
      <c r="G11" s="12" t="s">
        <v>11</v>
      </c>
      <c r="H11">
        <v>5</v>
      </c>
    </row>
    <row r="12" spans="1:8" x14ac:dyDescent="0.25">
      <c r="A12" s="12" t="s">
        <v>12</v>
      </c>
      <c r="B12">
        <v>24500</v>
      </c>
      <c r="D12" s="12" t="s">
        <v>12</v>
      </c>
      <c r="E12">
        <v>5</v>
      </c>
      <c r="G12" s="12" t="s">
        <v>12</v>
      </c>
      <c r="H12">
        <v>5</v>
      </c>
    </row>
    <row r="13" spans="1:8" x14ac:dyDescent="0.25">
      <c r="A13" s="12" t="s">
        <v>13</v>
      </c>
      <c r="B13">
        <v>23400</v>
      </c>
      <c r="D13" s="12" t="s">
        <v>13</v>
      </c>
      <c r="E13">
        <v>5</v>
      </c>
      <c r="G13" s="12" t="s">
        <v>13</v>
      </c>
      <c r="H13">
        <v>5</v>
      </c>
    </row>
    <row r="14" spans="1:8" x14ac:dyDescent="0.25">
      <c r="A14" s="12" t="s">
        <v>14</v>
      </c>
      <c r="B14">
        <v>26500</v>
      </c>
      <c r="D14" s="12" t="s">
        <v>14</v>
      </c>
      <c r="E14">
        <v>5</v>
      </c>
      <c r="G14" s="12" t="s">
        <v>14</v>
      </c>
      <c r="H14">
        <v>5</v>
      </c>
    </row>
    <row r="15" spans="1:8" x14ac:dyDescent="0.25">
      <c r="A15" s="12" t="s">
        <v>15</v>
      </c>
      <c r="B15">
        <v>24300</v>
      </c>
      <c r="D15" s="12" t="s">
        <v>15</v>
      </c>
      <c r="E15">
        <v>5</v>
      </c>
      <c r="G15" s="12" t="s">
        <v>15</v>
      </c>
      <c r="H15">
        <v>5</v>
      </c>
    </row>
    <row r="16" spans="1:8" x14ac:dyDescent="0.25">
      <c r="A16" s="12" t="s">
        <v>16</v>
      </c>
      <c r="B16">
        <v>28000</v>
      </c>
      <c r="D16" s="12" t="s">
        <v>16</v>
      </c>
      <c r="E16">
        <v>5</v>
      </c>
      <c r="G16" s="12" t="s">
        <v>16</v>
      </c>
      <c r="H16">
        <v>5</v>
      </c>
    </row>
    <row r="17" spans="1:8" x14ac:dyDescent="0.25">
      <c r="A17" s="12" t="s">
        <v>17</v>
      </c>
      <c r="B17">
        <v>295000</v>
      </c>
      <c r="D17" s="12" t="s">
        <v>17</v>
      </c>
      <c r="E17">
        <v>60</v>
      </c>
      <c r="G17" s="12" t="s">
        <v>17</v>
      </c>
      <c r="H17">
        <v>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zoomScale="80" zoomScaleNormal="80" workbookViewId="0">
      <selection activeCell="F48" sqref="F48"/>
    </sheetView>
  </sheetViews>
  <sheetFormatPr defaultColWidth="9" defaultRowHeight="14.4"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1"/>
  <sheetViews>
    <sheetView topLeftCell="A43" workbookViewId="0">
      <selection activeCell="I59" sqref="I59"/>
    </sheetView>
  </sheetViews>
  <sheetFormatPr defaultColWidth="9" defaultRowHeight="14.4" x14ac:dyDescent="0.25"/>
  <cols>
    <col min="1" max="1" width="12.44140625" customWidth="1"/>
    <col min="5" max="5" width="14" customWidth="1"/>
    <col min="8" max="8" width="31.21875" customWidth="1"/>
  </cols>
  <sheetData>
    <row r="1" spans="1:8" ht="15.6" x14ac:dyDescent="0.25">
      <c r="A1" s="1" t="s">
        <v>18</v>
      </c>
      <c r="B1" s="2" t="s">
        <v>19</v>
      </c>
      <c r="C1" s="2" t="s">
        <v>20</v>
      </c>
      <c r="D1" s="2" t="s">
        <v>21</v>
      </c>
      <c r="E1" s="2" t="s">
        <v>22</v>
      </c>
    </row>
    <row r="2" spans="1:8" x14ac:dyDescent="0.25">
      <c r="A2" s="3">
        <v>45662</v>
      </c>
      <c r="B2" s="4" t="s">
        <v>23</v>
      </c>
      <c r="C2" s="4" t="s">
        <v>24</v>
      </c>
      <c r="D2" s="4" t="s">
        <v>25</v>
      </c>
      <c r="E2" s="4">
        <v>12000</v>
      </c>
    </row>
    <row r="3" spans="1:8" x14ac:dyDescent="0.25">
      <c r="A3" s="5">
        <v>45665</v>
      </c>
      <c r="B3" s="6" t="s">
        <v>23</v>
      </c>
      <c r="C3" s="6" t="s">
        <v>26</v>
      </c>
      <c r="D3" s="6" t="s">
        <v>27</v>
      </c>
      <c r="E3" s="6">
        <v>4200</v>
      </c>
    </row>
    <row r="4" spans="1:8" x14ac:dyDescent="0.25">
      <c r="A4" s="3">
        <v>45669</v>
      </c>
      <c r="B4" s="4" t="s">
        <v>23</v>
      </c>
      <c r="C4" s="4" t="s">
        <v>28</v>
      </c>
      <c r="D4" s="4" t="s">
        <v>29</v>
      </c>
      <c r="E4" s="4">
        <v>2800</v>
      </c>
    </row>
    <row r="5" spans="1:8" x14ac:dyDescent="0.25">
      <c r="A5" s="5">
        <v>45675</v>
      </c>
      <c r="B5" s="6" t="s">
        <v>23</v>
      </c>
      <c r="C5" s="6" t="s">
        <v>30</v>
      </c>
      <c r="D5" s="6" t="s">
        <v>31</v>
      </c>
      <c r="E5" s="6">
        <v>2300</v>
      </c>
      <c r="H5" s="9" t="s">
        <v>32</v>
      </c>
    </row>
    <row r="6" spans="1:8" x14ac:dyDescent="0.25">
      <c r="A6" s="3">
        <v>45682</v>
      </c>
      <c r="B6" s="4" t="s">
        <v>23</v>
      </c>
      <c r="C6" s="4" t="s">
        <v>33</v>
      </c>
      <c r="D6" s="4" t="s">
        <v>34</v>
      </c>
      <c r="E6" s="4">
        <v>2600</v>
      </c>
      <c r="H6" s="10">
        <f>SUM(E3:E62)</f>
        <v>280300</v>
      </c>
    </row>
    <row r="7" spans="1:8" x14ac:dyDescent="0.25">
      <c r="A7" s="5">
        <v>45693</v>
      </c>
      <c r="B7" s="6" t="s">
        <v>35</v>
      </c>
      <c r="C7" s="6" t="s">
        <v>24</v>
      </c>
      <c r="D7" s="6" t="s">
        <v>25</v>
      </c>
      <c r="E7" s="6">
        <v>12000</v>
      </c>
    </row>
    <row r="8" spans="1:8" x14ac:dyDescent="0.25">
      <c r="A8" s="3">
        <v>45697</v>
      </c>
      <c r="B8" s="4" t="s">
        <v>35</v>
      </c>
      <c r="C8" s="4" t="s">
        <v>26</v>
      </c>
      <c r="D8" s="4" t="s">
        <v>27</v>
      </c>
      <c r="E8" s="4">
        <v>5100</v>
      </c>
    </row>
    <row r="9" spans="1:8" x14ac:dyDescent="0.25">
      <c r="A9" s="5">
        <v>45700</v>
      </c>
      <c r="B9" s="6" t="s">
        <v>35</v>
      </c>
      <c r="C9" s="6" t="s">
        <v>28</v>
      </c>
      <c r="D9" s="6" t="s">
        <v>29</v>
      </c>
      <c r="E9" s="6">
        <v>3200</v>
      </c>
    </row>
    <row r="10" spans="1:8" x14ac:dyDescent="0.25">
      <c r="A10" s="3">
        <v>45706</v>
      </c>
      <c r="B10" s="4" t="s">
        <v>35</v>
      </c>
      <c r="C10" s="4" t="s">
        <v>30</v>
      </c>
      <c r="D10" s="4" t="s">
        <v>31</v>
      </c>
      <c r="E10" s="4">
        <v>1900</v>
      </c>
      <c r="H10" s="2" t="s">
        <v>36</v>
      </c>
    </row>
    <row r="11" spans="1:8" x14ac:dyDescent="0.25">
      <c r="A11" s="5">
        <v>45712</v>
      </c>
      <c r="B11" s="6" t="s">
        <v>35</v>
      </c>
      <c r="C11" s="6" t="s">
        <v>33</v>
      </c>
      <c r="D11" s="6" t="s">
        <v>37</v>
      </c>
      <c r="E11" s="6">
        <v>2400</v>
      </c>
      <c r="H11" s="10">
        <f>SUMIF(C:C,"food",E:E)</f>
        <v>55800</v>
      </c>
    </row>
    <row r="12" spans="1:8" x14ac:dyDescent="0.25">
      <c r="A12" s="3">
        <v>45721</v>
      </c>
      <c r="B12" s="4" t="s">
        <v>38</v>
      </c>
      <c r="C12" s="4" t="s">
        <v>24</v>
      </c>
      <c r="D12" s="4" t="s">
        <v>25</v>
      </c>
      <c r="E12" s="4">
        <v>12000</v>
      </c>
    </row>
    <row r="13" spans="1:8" x14ac:dyDescent="0.25">
      <c r="A13" s="5">
        <v>45724</v>
      </c>
      <c r="B13" s="6" t="s">
        <v>38</v>
      </c>
      <c r="C13" s="6" t="s">
        <v>26</v>
      </c>
      <c r="D13" s="6" t="s">
        <v>27</v>
      </c>
      <c r="E13" s="6">
        <v>3900</v>
      </c>
    </row>
    <row r="14" spans="1:8" x14ac:dyDescent="0.25">
      <c r="A14" s="3">
        <v>45730</v>
      </c>
      <c r="B14" s="4" t="s">
        <v>38</v>
      </c>
      <c r="C14" s="4" t="s">
        <v>28</v>
      </c>
      <c r="D14" s="4" t="s">
        <v>39</v>
      </c>
      <c r="E14" s="4">
        <v>2600</v>
      </c>
      <c r="H14" s="2" t="s">
        <v>40</v>
      </c>
    </row>
    <row r="15" spans="1:8" x14ac:dyDescent="0.25">
      <c r="A15" s="5">
        <v>45736</v>
      </c>
      <c r="B15" s="6" t="s">
        <v>38</v>
      </c>
      <c r="C15" s="6" t="s">
        <v>30</v>
      </c>
      <c r="D15" s="6" t="s">
        <v>41</v>
      </c>
      <c r="E15" s="6">
        <v>1500</v>
      </c>
      <c r="H15" s="10">
        <f>AVERAGE(E3:E62)</f>
        <v>4750.8474576271201</v>
      </c>
    </row>
    <row r="16" spans="1:8" x14ac:dyDescent="0.25">
      <c r="A16" s="3">
        <v>45742</v>
      </c>
      <c r="B16" s="4" t="s">
        <v>38</v>
      </c>
      <c r="C16" s="4" t="s">
        <v>33</v>
      </c>
      <c r="D16" s="4" t="s">
        <v>34</v>
      </c>
      <c r="E16" s="4">
        <v>2300</v>
      </c>
    </row>
    <row r="17" spans="1:8" x14ac:dyDescent="0.25">
      <c r="A17" s="5">
        <v>45752</v>
      </c>
      <c r="B17" s="6" t="s">
        <v>42</v>
      </c>
      <c r="C17" s="6" t="s">
        <v>24</v>
      </c>
      <c r="D17" s="6" t="s">
        <v>25</v>
      </c>
      <c r="E17" s="6">
        <v>12000</v>
      </c>
    </row>
    <row r="18" spans="1:8" x14ac:dyDescent="0.25">
      <c r="A18" s="3">
        <v>45756</v>
      </c>
      <c r="B18" s="4" t="s">
        <v>42</v>
      </c>
      <c r="C18" s="4" t="s">
        <v>26</v>
      </c>
      <c r="D18" s="4" t="s">
        <v>27</v>
      </c>
      <c r="E18" s="4">
        <v>4500</v>
      </c>
      <c r="H18" s="11" t="s">
        <v>43</v>
      </c>
    </row>
    <row r="19" spans="1:8" x14ac:dyDescent="0.25">
      <c r="A19" s="5">
        <v>45760</v>
      </c>
      <c r="B19" s="6" t="s">
        <v>42</v>
      </c>
      <c r="C19" s="6" t="s">
        <v>28</v>
      </c>
      <c r="D19" s="6" t="s">
        <v>44</v>
      </c>
      <c r="E19" s="6">
        <v>3000</v>
      </c>
      <c r="H19" s="10">
        <f>SUMIF(B:B,"January",E:E)</f>
        <v>23900</v>
      </c>
    </row>
    <row r="20" spans="1:8" x14ac:dyDescent="0.25">
      <c r="A20" s="3">
        <v>45766</v>
      </c>
      <c r="B20" s="4" t="s">
        <v>42</v>
      </c>
      <c r="C20" s="4" t="s">
        <v>30</v>
      </c>
      <c r="D20" s="4" t="s">
        <v>31</v>
      </c>
      <c r="E20" s="4">
        <v>2200</v>
      </c>
    </row>
    <row r="21" spans="1:8" x14ac:dyDescent="0.25">
      <c r="A21" s="5">
        <v>45772</v>
      </c>
      <c r="B21" s="6" t="s">
        <v>42</v>
      </c>
      <c r="C21" s="6" t="s">
        <v>33</v>
      </c>
      <c r="D21" s="6" t="s">
        <v>34</v>
      </c>
      <c r="E21" s="6">
        <v>2500</v>
      </c>
    </row>
    <row r="22" spans="1:8" x14ac:dyDescent="0.25">
      <c r="A22" s="3">
        <v>45782</v>
      </c>
      <c r="B22" s="4" t="s">
        <v>9</v>
      </c>
      <c r="C22" s="4" t="s">
        <v>24</v>
      </c>
      <c r="D22" s="4" t="s">
        <v>25</v>
      </c>
      <c r="E22" s="4">
        <v>12000</v>
      </c>
      <c r="H22" s="11" t="s">
        <v>45</v>
      </c>
    </row>
    <row r="23" spans="1:8" x14ac:dyDescent="0.25">
      <c r="A23" s="5">
        <v>45785</v>
      </c>
      <c r="B23" s="6" t="s">
        <v>9</v>
      </c>
      <c r="C23" s="6" t="s">
        <v>26</v>
      </c>
      <c r="D23" s="6" t="s">
        <v>27</v>
      </c>
      <c r="E23" s="6">
        <v>4800</v>
      </c>
      <c r="H23" s="10">
        <f>SUMIFS(E:E,B:B,"January",C:C,"Food")</f>
        <v>4200</v>
      </c>
    </row>
    <row r="24" spans="1:8" x14ac:dyDescent="0.25">
      <c r="A24" s="3">
        <v>45791</v>
      </c>
      <c r="B24" s="4" t="s">
        <v>9</v>
      </c>
      <c r="C24" s="4" t="s">
        <v>28</v>
      </c>
      <c r="D24" s="4" t="s">
        <v>44</v>
      </c>
      <c r="E24" s="4">
        <v>2900</v>
      </c>
    </row>
    <row r="25" spans="1:8" x14ac:dyDescent="0.25">
      <c r="A25" s="5">
        <v>45797</v>
      </c>
      <c r="B25" s="6" t="s">
        <v>9</v>
      </c>
      <c r="C25" s="6" t="s">
        <v>30</v>
      </c>
      <c r="D25" s="6" t="s">
        <v>46</v>
      </c>
      <c r="E25" s="6">
        <v>2100</v>
      </c>
    </row>
    <row r="26" spans="1:8" x14ac:dyDescent="0.25">
      <c r="A26" s="3">
        <v>45803</v>
      </c>
      <c r="B26" s="4" t="s">
        <v>9</v>
      </c>
      <c r="C26" s="4" t="s">
        <v>33</v>
      </c>
      <c r="D26" s="4" t="s">
        <v>34</v>
      </c>
      <c r="E26" s="4">
        <v>2600</v>
      </c>
    </row>
    <row r="27" spans="1:8" x14ac:dyDescent="0.25">
      <c r="A27" s="5">
        <v>45813</v>
      </c>
      <c r="B27" s="6" t="s">
        <v>47</v>
      </c>
      <c r="C27" s="6" t="s">
        <v>24</v>
      </c>
      <c r="D27" s="6" t="s">
        <v>25</v>
      </c>
      <c r="E27" s="6">
        <v>12000</v>
      </c>
    </row>
    <row r="28" spans="1:8" x14ac:dyDescent="0.25">
      <c r="A28" s="3">
        <v>45817</v>
      </c>
      <c r="B28" s="4" t="s">
        <v>47</v>
      </c>
      <c r="C28" s="4" t="s">
        <v>26</v>
      </c>
      <c r="D28" s="4" t="s">
        <v>27</v>
      </c>
      <c r="E28" s="4">
        <v>5200</v>
      </c>
      <c r="H28" s="11" t="s">
        <v>48</v>
      </c>
    </row>
    <row r="29" spans="1:8" x14ac:dyDescent="0.25">
      <c r="A29" s="5">
        <v>45821</v>
      </c>
      <c r="B29" s="6" t="s">
        <v>47</v>
      </c>
      <c r="C29" s="6" t="s">
        <v>28</v>
      </c>
      <c r="D29" s="6" t="s">
        <v>44</v>
      </c>
      <c r="E29" s="6">
        <v>3300</v>
      </c>
      <c r="H29" s="10">
        <f>AVERAGEIF(B:B,"January",E:E)</f>
        <v>4780</v>
      </c>
    </row>
    <row r="30" spans="1:8" x14ac:dyDescent="0.25">
      <c r="A30" s="3">
        <v>45826</v>
      </c>
      <c r="B30" s="4" t="s">
        <v>47</v>
      </c>
      <c r="C30" s="4" t="s">
        <v>30</v>
      </c>
      <c r="D30" s="4" t="s">
        <v>49</v>
      </c>
      <c r="E30" s="4">
        <v>2800</v>
      </c>
    </row>
    <row r="31" spans="1:8" x14ac:dyDescent="0.25">
      <c r="A31" s="5">
        <v>45833</v>
      </c>
      <c r="B31" s="6" t="s">
        <v>47</v>
      </c>
      <c r="C31" s="6" t="s">
        <v>33</v>
      </c>
      <c r="D31" s="6" t="s">
        <v>34</v>
      </c>
      <c r="E31" s="6">
        <v>2700</v>
      </c>
    </row>
    <row r="32" spans="1:8" x14ac:dyDescent="0.25">
      <c r="A32" s="3">
        <v>45843</v>
      </c>
      <c r="B32" s="4" t="s">
        <v>50</v>
      </c>
      <c r="C32" s="4" t="s">
        <v>24</v>
      </c>
      <c r="D32" s="4" t="s">
        <v>25</v>
      </c>
      <c r="E32" s="4">
        <v>12000</v>
      </c>
    </row>
    <row r="33" spans="1:5" x14ac:dyDescent="0.25">
      <c r="A33" s="5">
        <v>45846</v>
      </c>
      <c r="B33" s="6" t="s">
        <v>50</v>
      </c>
      <c r="C33" s="6" t="s">
        <v>26</v>
      </c>
      <c r="D33" s="6" t="s">
        <v>27</v>
      </c>
      <c r="E33" s="6">
        <v>4100</v>
      </c>
    </row>
    <row r="34" spans="1:5" x14ac:dyDescent="0.25">
      <c r="A34" s="3">
        <v>45850</v>
      </c>
      <c r="B34" s="4" t="s">
        <v>50</v>
      </c>
      <c r="C34" s="4" t="s">
        <v>28</v>
      </c>
      <c r="D34" s="4" t="s">
        <v>39</v>
      </c>
      <c r="E34" s="4">
        <v>2600</v>
      </c>
    </row>
    <row r="35" spans="1:5" x14ac:dyDescent="0.25">
      <c r="A35" s="5">
        <v>45857</v>
      </c>
      <c r="B35" s="6" t="s">
        <v>50</v>
      </c>
      <c r="C35" s="6" t="s">
        <v>30</v>
      </c>
      <c r="D35" s="6" t="s">
        <v>31</v>
      </c>
      <c r="E35" s="6">
        <v>1800</v>
      </c>
    </row>
    <row r="36" spans="1:5" x14ac:dyDescent="0.25">
      <c r="A36" s="3">
        <v>45864</v>
      </c>
      <c r="B36" s="4" t="s">
        <v>50</v>
      </c>
      <c r="C36" s="4" t="s">
        <v>33</v>
      </c>
      <c r="D36" s="4" t="s">
        <v>34</v>
      </c>
      <c r="E36" s="4">
        <v>2400</v>
      </c>
    </row>
    <row r="37" spans="1:5" x14ac:dyDescent="0.25">
      <c r="A37" s="5">
        <v>45874</v>
      </c>
      <c r="B37" s="6" t="s">
        <v>51</v>
      </c>
      <c r="C37" s="6" t="s">
        <v>24</v>
      </c>
      <c r="D37" s="6" t="s">
        <v>25</v>
      </c>
      <c r="E37" s="6">
        <v>12000</v>
      </c>
    </row>
    <row r="38" spans="1:5" x14ac:dyDescent="0.25">
      <c r="A38" s="3">
        <v>45878</v>
      </c>
      <c r="B38" s="4" t="s">
        <v>51</v>
      </c>
      <c r="C38" s="4" t="s">
        <v>26</v>
      </c>
      <c r="D38" s="4" t="s">
        <v>27</v>
      </c>
      <c r="E38" s="4">
        <v>4700</v>
      </c>
    </row>
    <row r="39" spans="1:5" x14ac:dyDescent="0.25">
      <c r="A39" s="5">
        <v>45883</v>
      </c>
      <c r="B39" s="6" t="s">
        <v>51</v>
      </c>
      <c r="C39" s="6" t="s">
        <v>28</v>
      </c>
      <c r="D39" s="6" t="s">
        <v>44</v>
      </c>
      <c r="E39" s="6">
        <v>3100</v>
      </c>
    </row>
    <row r="40" spans="1:5" x14ac:dyDescent="0.25">
      <c r="A40" s="3">
        <v>45889</v>
      </c>
      <c r="B40" s="4" t="s">
        <v>51</v>
      </c>
      <c r="C40" s="4" t="s">
        <v>30</v>
      </c>
      <c r="D40" s="4" t="s">
        <v>46</v>
      </c>
      <c r="E40" s="4">
        <v>2200</v>
      </c>
    </row>
    <row r="41" spans="1:5" x14ac:dyDescent="0.25">
      <c r="A41" s="5">
        <v>45895</v>
      </c>
      <c r="B41" s="6" t="s">
        <v>51</v>
      </c>
      <c r="C41" s="6" t="s">
        <v>33</v>
      </c>
      <c r="D41" s="6" t="s">
        <v>34</v>
      </c>
      <c r="E41" s="6">
        <v>2500</v>
      </c>
    </row>
    <row r="42" spans="1:5" x14ac:dyDescent="0.25">
      <c r="A42" s="3">
        <v>45905</v>
      </c>
      <c r="B42" s="4" t="s">
        <v>52</v>
      </c>
      <c r="C42" s="4" t="s">
        <v>24</v>
      </c>
      <c r="D42" s="4" t="s">
        <v>25</v>
      </c>
      <c r="E42" s="4">
        <v>12000</v>
      </c>
    </row>
    <row r="43" spans="1:5" x14ac:dyDescent="0.25">
      <c r="A43" s="5">
        <v>45908</v>
      </c>
      <c r="B43" s="6" t="s">
        <v>52</v>
      </c>
      <c r="C43" s="6" t="s">
        <v>26</v>
      </c>
      <c r="D43" s="6" t="s">
        <v>27</v>
      </c>
      <c r="E43" s="6">
        <v>4300</v>
      </c>
    </row>
    <row r="44" spans="1:5" x14ac:dyDescent="0.25">
      <c r="A44" s="3">
        <v>45913</v>
      </c>
      <c r="B44" s="4" t="s">
        <v>52</v>
      </c>
      <c r="C44" s="4" t="s">
        <v>28</v>
      </c>
      <c r="D44" s="4" t="s">
        <v>39</v>
      </c>
      <c r="E44" s="4">
        <v>2700</v>
      </c>
    </row>
    <row r="45" spans="1:5" x14ac:dyDescent="0.25">
      <c r="A45" s="5">
        <v>45918</v>
      </c>
      <c r="B45" s="6" t="s">
        <v>52</v>
      </c>
      <c r="C45" s="6" t="s">
        <v>30</v>
      </c>
      <c r="D45" s="6" t="s">
        <v>41</v>
      </c>
      <c r="E45" s="6">
        <v>2000</v>
      </c>
    </row>
    <row r="46" spans="1:5" x14ac:dyDescent="0.25">
      <c r="A46" s="3">
        <v>45925</v>
      </c>
      <c r="B46" s="4" t="s">
        <v>52</v>
      </c>
      <c r="C46" s="4" t="s">
        <v>33</v>
      </c>
      <c r="D46" s="4" t="s">
        <v>34</v>
      </c>
      <c r="E46" s="4">
        <v>2400</v>
      </c>
    </row>
    <row r="47" spans="1:5" x14ac:dyDescent="0.25">
      <c r="A47" s="5">
        <v>45935</v>
      </c>
      <c r="B47" s="6" t="s">
        <v>53</v>
      </c>
      <c r="C47" s="6" t="s">
        <v>24</v>
      </c>
      <c r="D47" s="6" t="s">
        <v>25</v>
      </c>
      <c r="E47" s="6">
        <v>12000</v>
      </c>
    </row>
    <row r="48" spans="1:5" x14ac:dyDescent="0.25">
      <c r="A48" s="3">
        <v>45939</v>
      </c>
      <c r="B48" s="4" t="s">
        <v>53</v>
      </c>
      <c r="C48" s="4" t="s">
        <v>26</v>
      </c>
      <c r="D48" s="4" t="s">
        <v>27</v>
      </c>
      <c r="E48" s="4">
        <v>5000</v>
      </c>
    </row>
    <row r="49" spans="1:5" x14ac:dyDescent="0.25">
      <c r="A49" s="5">
        <v>45944</v>
      </c>
      <c r="B49" s="6" t="s">
        <v>53</v>
      </c>
      <c r="C49" s="6" t="s">
        <v>28</v>
      </c>
      <c r="D49" s="6" t="s">
        <v>44</v>
      </c>
      <c r="E49" s="6">
        <v>3200</v>
      </c>
    </row>
    <row r="50" spans="1:5" x14ac:dyDescent="0.25">
      <c r="A50" s="3">
        <v>45950</v>
      </c>
      <c r="B50" s="4" t="s">
        <v>53</v>
      </c>
      <c r="C50" s="4" t="s">
        <v>30</v>
      </c>
      <c r="D50" s="4" t="s">
        <v>54</v>
      </c>
      <c r="E50" s="4">
        <v>3500</v>
      </c>
    </row>
    <row r="51" spans="1:5" x14ac:dyDescent="0.25">
      <c r="A51" s="5">
        <v>45956</v>
      </c>
      <c r="B51" s="6" t="s">
        <v>53</v>
      </c>
      <c r="C51" s="6" t="s">
        <v>33</v>
      </c>
      <c r="D51" s="6" t="s">
        <v>34</v>
      </c>
      <c r="E51" s="6">
        <v>2800</v>
      </c>
    </row>
    <row r="52" spans="1:5" x14ac:dyDescent="0.25">
      <c r="A52" s="3">
        <v>45966</v>
      </c>
      <c r="B52" s="4" t="s">
        <v>55</v>
      </c>
      <c r="C52" s="4" t="s">
        <v>24</v>
      </c>
      <c r="D52" s="4" t="s">
        <v>25</v>
      </c>
      <c r="E52" s="4">
        <v>12000</v>
      </c>
    </row>
    <row r="53" spans="1:5" x14ac:dyDescent="0.25">
      <c r="A53" s="5">
        <v>45969</v>
      </c>
      <c r="B53" s="6" t="s">
        <v>55</v>
      </c>
      <c r="C53" s="6" t="s">
        <v>26</v>
      </c>
      <c r="D53" s="6" t="s">
        <v>27</v>
      </c>
      <c r="E53" s="6">
        <v>4600</v>
      </c>
    </row>
    <row r="54" spans="1:5" x14ac:dyDescent="0.25">
      <c r="A54" s="3">
        <v>45974</v>
      </c>
      <c r="B54" s="4" t="s">
        <v>55</v>
      </c>
      <c r="C54" s="4" t="s">
        <v>28</v>
      </c>
      <c r="D54" s="4" t="s">
        <v>44</v>
      </c>
      <c r="E54" s="4">
        <v>3000</v>
      </c>
    </row>
    <row r="55" spans="1:5" x14ac:dyDescent="0.25">
      <c r="A55" s="5">
        <v>45980</v>
      </c>
      <c r="B55" s="6" t="s">
        <v>55</v>
      </c>
      <c r="C55" s="6" t="s">
        <v>30</v>
      </c>
      <c r="D55" s="6" t="s">
        <v>31</v>
      </c>
      <c r="E55" s="6">
        <v>2100</v>
      </c>
    </row>
    <row r="56" spans="1:5" x14ac:dyDescent="0.25">
      <c r="A56" s="3">
        <v>45986</v>
      </c>
      <c r="B56" s="4" t="s">
        <v>55</v>
      </c>
      <c r="C56" s="4" t="s">
        <v>33</v>
      </c>
      <c r="D56" s="4" t="s">
        <v>34</v>
      </c>
      <c r="E56" s="4">
        <v>2600</v>
      </c>
    </row>
    <row r="57" spans="1:5" x14ac:dyDescent="0.25">
      <c r="A57" s="5">
        <v>45996</v>
      </c>
      <c r="B57" s="6" t="s">
        <v>56</v>
      </c>
      <c r="C57" s="6" t="s">
        <v>24</v>
      </c>
      <c r="D57" s="6" t="s">
        <v>25</v>
      </c>
      <c r="E57" s="6">
        <v>12000</v>
      </c>
    </row>
    <row r="58" spans="1:5" x14ac:dyDescent="0.25">
      <c r="A58" s="3">
        <v>46000</v>
      </c>
      <c r="B58" s="4" t="s">
        <v>56</v>
      </c>
      <c r="C58" s="4" t="s">
        <v>26</v>
      </c>
      <c r="D58" s="4" t="s">
        <v>27</v>
      </c>
      <c r="E58" s="4">
        <v>5400</v>
      </c>
    </row>
    <row r="59" spans="1:5" x14ac:dyDescent="0.25">
      <c r="A59" s="5">
        <v>46005</v>
      </c>
      <c r="B59" s="6" t="s">
        <v>56</v>
      </c>
      <c r="C59" s="6" t="s">
        <v>28</v>
      </c>
      <c r="D59" s="6" t="s">
        <v>57</v>
      </c>
      <c r="E59" s="6">
        <v>3600</v>
      </c>
    </row>
    <row r="60" spans="1:5" x14ac:dyDescent="0.25">
      <c r="A60" s="3">
        <v>46011</v>
      </c>
      <c r="B60" s="4" t="s">
        <v>56</v>
      </c>
      <c r="C60" s="4" t="s">
        <v>30</v>
      </c>
      <c r="D60" s="4" t="s">
        <v>58</v>
      </c>
      <c r="E60" s="4">
        <v>4000</v>
      </c>
    </row>
    <row r="61" spans="1:5" x14ac:dyDescent="0.25">
      <c r="A61" s="7">
        <v>46017</v>
      </c>
      <c r="B61" s="8" t="s">
        <v>56</v>
      </c>
      <c r="C61" s="8" t="s">
        <v>33</v>
      </c>
      <c r="D61" s="8" t="s">
        <v>34</v>
      </c>
      <c r="E61" s="8">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arun kumar</cp:lastModifiedBy>
  <dcterms:created xsi:type="dcterms:W3CDTF">2026-01-20T09:48:00Z</dcterms:created>
  <dcterms:modified xsi:type="dcterms:W3CDTF">2026-01-28T11:31:58Z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004847827C64D4D1747A706914F3F5C3_43</vt:lpwstr>
  </property>
  <property fmtid="{D5CDD505-2E9C-101B-9397-08002B2CF9AE}" pid="3" name="KSOProductBuildVer">
    <vt:lpwstr>1033-12.1.23155.23155</vt:lpwstr>
  </property>
</Properties>
</file>